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docs.live.net/3d0f88f3f6cb101d/Desktop/DASHBOARD 1/"/>
    </mc:Choice>
  </mc:AlternateContent>
  <xr:revisionPtr revIDLastSave="9" documentId="8_{97F9188D-F29D-4C8C-8659-6212E401AA4F}" xr6:coauthVersionLast="47" xr6:coauthVersionMax="47" xr10:uidLastSave="{59EE80E9-F4F4-4337-A073-420DC1AD00AC}"/>
  <bookViews>
    <workbookView xWindow="-120" yWindow="-120" windowWidth="20730" windowHeight="11040" activeTab="3" xr2:uid="{80B590A0-26F3-4C00-B82F-AB5BC9851E2A}"/>
  </bookViews>
  <sheets>
    <sheet name="main daata" sheetId="1" r:id="rId1"/>
    <sheet name="DASH BOARD" sheetId="2" r:id="rId2"/>
    <sheet name="PRODUCTS" sheetId="7" r:id="rId3"/>
    <sheet name="SALES MANS" sheetId="9" r:id="rId4"/>
    <sheet name="ABOUT" sheetId="10" r:id="rId5"/>
    <sheet name="piviot table " sheetId="3" r:id="rId6"/>
    <sheet name="Sheet5" sheetId="5" r:id="rId7"/>
  </sheets>
  <definedNames>
    <definedName name="_xlcn.WorksheetConnection_maindaataA1G279" hidden="1">'main daata'!$A$1:$G$279</definedName>
    <definedName name="Slicer_Place">#N/A</definedName>
    <definedName name="Slicer_Products">#N/A</definedName>
    <definedName name="Timeline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in daata!$A$1:$G$279"/>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G14" i="3"/>
  <c r="F14" i="3"/>
  <c r="F72" i="3"/>
  <c r="F7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308885-B38E-45B9-983A-FD6D6F201B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D1CA48-3206-4591-A9D1-284544835787}" name="WorksheetConnection_main daata!$A$1:$G$279" type="102" refreshedVersion="8" minRefreshableVersion="5">
    <extLst>
      <ext xmlns:x15="http://schemas.microsoft.com/office/spreadsheetml/2010/11/main" uri="{DE250136-89BD-433C-8126-D09CA5730AF9}">
        <x15:connection id="Range" autoDelete="1">
          <x15:rangePr sourceName="_xlcn.WorksheetConnection_maindaataA1G279"/>
        </x15:connection>
      </ext>
    </extLst>
  </connection>
</connections>
</file>

<file path=xl/sharedStrings.xml><?xml version="1.0" encoding="utf-8"?>
<sst xmlns="http://schemas.openxmlformats.org/spreadsheetml/2006/main" count="894" uniqueCount="37">
  <si>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</si>
  <si>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</si>
  <si>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</si>
  <si>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</si>
  <si>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</si>
  <si>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</si>
  <si>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</si>
  <si>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</si>
  <si>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</si>
  <si>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</si>
  <si>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</si>
  <si>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</si>
  <si>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</si>
  <si>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</si>
  <si>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</si>
  <si>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</si>
  <si>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</si>
  <si>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</si>
  <si>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</si>
  <si>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</si>
  <si>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</si>
  <si>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</si>
  <si>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</si>
  <si>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</si>
  <si>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</si>
  <si>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</si>
  <si>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</si>
  <si>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Price</t>
  </si>
  <si>
    <t>Kartheek@12</t>
  </si>
  <si>
    <t>Sum of Amount</t>
  </si>
  <si>
    <t>Count of Amount</t>
  </si>
  <si>
    <t xml:space="preserve">COUNT OF SALES </t>
  </si>
  <si>
    <t>Sum of Units</t>
  </si>
  <si>
    <t>Jan</t>
  </si>
  <si>
    <t>Feb</t>
  </si>
  <si>
    <t>Apr</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</si>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</sst>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4" fontId="0" fillId="0" borderId="0" xfId="1" applyNumberFormat="1" applyFont="1"/>
    <xf numFmtId="10" fontId="0" fillId="0" borderId="0" xfId="0" applyNumberFormat="1"/>
  </cellXfs>
  <cellStyles count="2">
    <cellStyle name="Comma" xfId="1" builtinId="3"/>
    <cellStyle name="Normal" xfId="0" builtinId="0"/>
  </cellStyles>
  <dxfs count="6">
    <dxf>
      <numFmt numFmtId="14" formatCode="0.00%"/>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5250470703685"/>
          <c:y val="0.17551922637822606"/>
          <c:w val="0.79931016673005317"/>
          <c:h val="0.6560415679426117"/>
        </c:manualLayout>
      </c:layout>
      <c:barChart>
        <c:barDir val="col"/>
        <c:grouping val="clustered"/>
        <c:varyColors val="0"/>
        <c:ser>
          <c:idx val="0"/>
          <c:order val="0"/>
          <c:tx>
            <c:strRef>
              <c:f>'piviot table '!$C$42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'!$B$43:$B$44</c:f>
              <c:strCache>
                <c:ptCount val="1"/>
                <c:pt idx="0">
                  <c:v>Guntur</c:v>
                </c:pt>
              </c:strCache>
            </c:strRef>
          </c:cat>
          <c:val>
            <c:numRef>
              <c:f>'piviot table '!$C$43:$C$44</c:f>
              <c:numCache>
                <c:formatCode>_ * #,##0_ ;_ * \-#,##0_ ;_ * "-"??_ ;_ @_ </c:formatCode>
                <c:ptCount val="1"/>
                <c:pt idx="0">
                  <c:v>120932</c:v>
                </c:pt>
              </c:numCache>
            </c:numRef>
          </c:val>
          <c:extLst>
            <c:ext xmlns:c16="http://schemas.microsoft.com/office/drawing/2014/chart" uri="{C3380CC4-5D6E-409C-BE32-E72D297353CC}">
              <c16:uniqueId val="{00000003-C8F2-46D1-A311-C16B409F4E9E}"/>
            </c:ext>
          </c:extLst>
        </c:ser>
        <c:dLbls>
          <c:showLegendKey val="0"/>
          <c:showVal val="0"/>
          <c:showCatName val="0"/>
          <c:showSerName val="0"/>
          <c:showPercent val="0"/>
          <c:showBubbleSize val="0"/>
        </c:dLbls>
        <c:gapWidth val="219"/>
        <c:overlap val="-27"/>
        <c:axId val="1937329231"/>
        <c:axId val="1937346031"/>
      </c:barChart>
      <c:catAx>
        <c:axId val="193732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46031"/>
        <c:crosses val="autoZero"/>
        <c:auto val="1"/>
        <c:lblAlgn val="ctr"/>
        <c:lblOffset val="100"/>
        <c:noMultiLvlLbl val="0"/>
      </c:catAx>
      <c:valAx>
        <c:axId val="1937346031"/>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6390001961499"/>
          <c:y val="0.19487403057668634"/>
          <c:w val="0.73206564481930858"/>
          <c:h val="0.48197873570888383"/>
        </c:manualLayout>
      </c:layout>
      <c:lineChart>
        <c:grouping val="standard"/>
        <c:varyColors val="0"/>
        <c:ser>
          <c:idx val="0"/>
          <c:order val="0"/>
          <c:tx>
            <c:strRef>
              <c:f>'piviot table '!$G$18</c:f>
              <c:strCache>
                <c:ptCount val="1"/>
                <c:pt idx="0">
                  <c:v>Total</c:v>
                </c:pt>
              </c:strCache>
            </c:strRef>
          </c:tx>
          <c:spPr>
            <a:ln w="28575" cap="rnd">
              <a:solidFill>
                <a:schemeClr val="accent1"/>
              </a:solidFill>
              <a:round/>
            </a:ln>
            <a:effectLst/>
          </c:spPr>
          <c:marker>
            <c:symbol val="none"/>
          </c:marker>
          <c:cat>
            <c:strRef>
              <c:f>'piviot table '!$F$19:$F$23</c:f>
              <c:strCache>
                <c:ptCount val="4"/>
                <c:pt idx="0">
                  <c:v>Jan</c:v>
                </c:pt>
                <c:pt idx="1">
                  <c:v>Feb</c:v>
                </c:pt>
                <c:pt idx="2">
                  <c:v>Apr</c:v>
                </c:pt>
                <c:pt idx="3">
                  <c:v>Nov</c:v>
                </c:pt>
              </c:strCache>
            </c:strRef>
          </c:cat>
          <c:val>
            <c:numRef>
              <c:f>'piviot table '!$G$19:$G$23</c:f>
              <c:numCache>
                <c:formatCode>_ * #,##0_ ;_ * \-#,##0_ ;_ * "-"??_ ;_ @_ </c:formatCode>
                <c:ptCount val="4"/>
                <c:pt idx="0">
                  <c:v>42570</c:v>
                </c:pt>
                <c:pt idx="1">
                  <c:v>7996</c:v>
                </c:pt>
                <c:pt idx="2">
                  <c:v>7996</c:v>
                </c:pt>
                <c:pt idx="3">
                  <c:v>62370</c:v>
                </c:pt>
              </c:numCache>
            </c:numRef>
          </c:val>
          <c:smooth val="0"/>
          <c:extLst>
            <c:ext xmlns:c16="http://schemas.microsoft.com/office/drawing/2014/chart" uri="{C3380CC4-5D6E-409C-BE32-E72D297353CC}">
              <c16:uniqueId val="{00000003-9D31-41C6-9FA2-4FDD12E6382D}"/>
            </c:ext>
          </c:extLst>
        </c:ser>
        <c:dLbls>
          <c:showLegendKey val="0"/>
          <c:showVal val="0"/>
          <c:showCatName val="0"/>
          <c:showSerName val="0"/>
          <c:showPercent val="0"/>
          <c:showBubbleSize val="0"/>
        </c:dLbls>
        <c:smooth val="0"/>
        <c:axId val="1437790735"/>
        <c:axId val="1437790255"/>
      </c:lineChart>
      <c:catAx>
        <c:axId val="143779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90255"/>
        <c:crosses val="autoZero"/>
        <c:auto val="1"/>
        <c:lblAlgn val="ctr"/>
        <c:lblOffset val="100"/>
        <c:noMultiLvlLbl val="0"/>
      </c:catAx>
      <c:valAx>
        <c:axId val="14377902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5265322373626"/>
          <c:y val="8.8642685059054413E-2"/>
          <c:w val="0.78467883131375049"/>
          <c:h val="0.74797209500355388"/>
        </c:manualLayout>
      </c:layout>
      <c:barChart>
        <c:barDir val="bar"/>
        <c:grouping val="clustered"/>
        <c:varyColors val="0"/>
        <c:ser>
          <c:idx val="0"/>
          <c:order val="0"/>
          <c:tx>
            <c:strRef>
              <c:f>'piviot table '!$C$57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'!$B$58:$B$61</c:f>
              <c:strCache>
                <c:ptCount val="3"/>
                <c:pt idx="0">
                  <c:v>LED TV's</c:v>
                </c:pt>
                <c:pt idx="1">
                  <c:v>Mobiles</c:v>
                </c:pt>
                <c:pt idx="2">
                  <c:v>Speakers</c:v>
                </c:pt>
              </c:strCache>
            </c:strRef>
          </c:cat>
          <c:val>
            <c:numRef>
              <c:f>'piviot table '!$C$58:$C$61</c:f>
              <c:numCache>
                <c:formatCode>0.00%</c:formatCode>
                <c:ptCount val="3"/>
                <c:pt idx="0">
                  <c:v>0.6990395741226858</c:v>
                </c:pt>
                <c:pt idx="1">
                  <c:v>0.17042971988118263</c:v>
                </c:pt>
                <c:pt idx="2">
                  <c:v>0.13053070599613154</c:v>
                </c:pt>
              </c:numCache>
            </c:numRef>
          </c:val>
          <c:extLst>
            <c:ext xmlns:c16="http://schemas.microsoft.com/office/drawing/2014/chart" uri="{C3380CC4-5D6E-409C-BE32-E72D297353CC}">
              <c16:uniqueId val="{00000002-A092-4FFC-836F-768B61C4A782}"/>
            </c:ext>
          </c:extLst>
        </c:ser>
        <c:dLbls>
          <c:showLegendKey val="0"/>
          <c:showVal val="0"/>
          <c:showCatName val="0"/>
          <c:showSerName val="0"/>
          <c:showPercent val="0"/>
          <c:showBubbleSize val="0"/>
        </c:dLbls>
        <c:gapWidth val="150"/>
        <c:axId val="1374808991"/>
        <c:axId val="1374801311"/>
      </c:barChart>
      <c:catAx>
        <c:axId val="137480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1311"/>
        <c:crosses val="autoZero"/>
        <c:auto val="1"/>
        <c:lblAlgn val="ctr"/>
        <c:lblOffset val="100"/>
        <c:noMultiLvlLbl val="0"/>
      </c:catAx>
      <c:valAx>
        <c:axId val="13748013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89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!PivotTable17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9695235387265"/>
          <c:y val="8.2478730878454573E-2"/>
          <c:w val="0.83940371490329257"/>
          <c:h val="0.78166929394191653"/>
        </c:manualLayout>
      </c:layout>
      <c:barChart>
        <c:barDir val="bar"/>
        <c:grouping val="clustered"/>
        <c:varyColors val="0"/>
        <c:ser>
          <c:idx val="0"/>
          <c:order val="0"/>
          <c:tx>
            <c:strRef>
              <c:f>'piviot table '!$C$131</c:f>
              <c:strCache>
                <c:ptCount val="1"/>
                <c:pt idx="0">
                  <c:v>Total</c:v>
                </c:pt>
              </c:strCache>
            </c:strRef>
          </c:tx>
          <c:spPr>
            <a:solidFill>
              <a:schemeClr val="accent1"/>
            </a:solidFill>
            <a:ln>
              <a:noFill/>
            </a:ln>
            <a:effectLst/>
          </c:spPr>
          <c:invertIfNegative val="0"/>
          <c:cat>
            <c:strRef>
              <c:f>'piviot table '!$B$132:$B$135</c:f>
              <c:strCache>
                <c:ptCount val="3"/>
                <c:pt idx="0">
                  <c:v>4K LED TV's</c:v>
                </c:pt>
                <c:pt idx="1">
                  <c:v>Furniture</c:v>
                </c:pt>
                <c:pt idx="2">
                  <c:v>Laptops</c:v>
                </c:pt>
              </c:strCache>
            </c:strRef>
          </c:cat>
          <c:val>
            <c:numRef>
              <c:f>'piviot table '!$C$132:$C$135</c:f>
              <c:numCache>
                <c:formatCode>General</c:formatCode>
                <c:ptCount val="3"/>
                <c:pt idx="0">
                  <c:v>9923650</c:v>
                </c:pt>
                <c:pt idx="1">
                  <c:v>723768</c:v>
                </c:pt>
                <c:pt idx="2">
                  <c:v>7605632</c:v>
                </c:pt>
              </c:numCache>
            </c:numRef>
          </c:val>
          <c:extLst>
            <c:ext xmlns:c16="http://schemas.microsoft.com/office/drawing/2014/chart" uri="{C3380CC4-5D6E-409C-BE32-E72D297353CC}">
              <c16:uniqueId val="{00000004-9722-4362-8068-DDE9DB01E507}"/>
            </c:ext>
          </c:extLst>
        </c:ser>
        <c:dLbls>
          <c:showLegendKey val="0"/>
          <c:showVal val="0"/>
          <c:showCatName val="0"/>
          <c:showSerName val="0"/>
          <c:showPercent val="0"/>
          <c:showBubbleSize val="0"/>
        </c:dLbls>
        <c:gapWidth val="182"/>
        <c:axId val="2142526671"/>
        <c:axId val="2142523791"/>
      </c:barChart>
      <c:catAx>
        <c:axId val="21425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23791"/>
        <c:crosses val="autoZero"/>
        <c:auto val="1"/>
        <c:lblAlgn val="ctr"/>
        <c:lblOffset val="100"/>
        <c:noMultiLvlLbl val="0"/>
      </c:catAx>
      <c:valAx>
        <c:axId val="214252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6071812306556"/>
          <c:y val="8.1255794637466544E-2"/>
          <c:w val="0.78029347146270667"/>
          <c:h val="0.74797209500355388"/>
        </c:manualLayout>
      </c:layout>
      <c:barChart>
        <c:barDir val="bar"/>
        <c:grouping val="clustered"/>
        <c:varyColors val="0"/>
        <c:ser>
          <c:idx val="0"/>
          <c:order val="0"/>
          <c:tx>
            <c:strRef>
              <c:f>'piviot table '!$C$57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'!$B$58:$B$61</c:f>
              <c:strCache>
                <c:ptCount val="3"/>
                <c:pt idx="0">
                  <c:v>LED TV's</c:v>
                </c:pt>
                <c:pt idx="1">
                  <c:v>Mobiles</c:v>
                </c:pt>
                <c:pt idx="2">
                  <c:v>Speakers</c:v>
                </c:pt>
              </c:strCache>
            </c:strRef>
          </c:cat>
          <c:val>
            <c:numRef>
              <c:f>'piviot table '!$C$58:$C$61</c:f>
              <c:numCache>
                <c:formatCode>0.00%</c:formatCode>
                <c:ptCount val="3"/>
                <c:pt idx="0">
                  <c:v>0.6990395741226858</c:v>
                </c:pt>
                <c:pt idx="1">
                  <c:v>0.17042971988118263</c:v>
                </c:pt>
                <c:pt idx="2">
                  <c:v>0.13053070599613154</c:v>
                </c:pt>
              </c:numCache>
            </c:numRef>
          </c:val>
          <c:extLst>
            <c:ext xmlns:c16="http://schemas.microsoft.com/office/drawing/2014/chart" uri="{C3380CC4-5D6E-409C-BE32-E72D297353CC}">
              <c16:uniqueId val="{00000003-F443-4C03-9CB5-B9AE9F94FA14}"/>
            </c:ext>
          </c:extLst>
        </c:ser>
        <c:dLbls>
          <c:showLegendKey val="0"/>
          <c:showVal val="0"/>
          <c:showCatName val="0"/>
          <c:showSerName val="0"/>
          <c:showPercent val="0"/>
          <c:showBubbleSize val="0"/>
        </c:dLbls>
        <c:gapWidth val="150"/>
        <c:axId val="1374808991"/>
        <c:axId val="1374801311"/>
      </c:barChart>
      <c:catAx>
        <c:axId val="137480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1311"/>
        <c:crosses val="autoZero"/>
        <c:auto val="1"/>
        <c:lblAlgn val="ctr"/>
        <c:lblOffset val="100"/>
        <c:noMultiLvlLbl val="0"/>
      </c:catAx>
      <c:valAx>
        <c:axId val="13748013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89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!PivotTable3</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'piviot table '!$D$206</c:f>
              <c:strCache>
                <c:ptCount val="1"/>
                <c:pt idx="0">
                  <c:v>Total</c:v>
                </c:pt>
              </c:strCache>
            </c:strRef>
          </c:tx>
          <c:spPr>
            <a:solidFill>
              <a:schemeClr val="accent1"/>
            </a:solidFill>
            <a:ln>
              <a:noFill/>
            </a:ln>
            <a:effectLst/>
            <a:sp3d/>
          </c:spPr>
          <c:invertIfNegative val="0"/>
          <c:cat>
            <c:strRef>
              <c:f>'piviot table '!$C$207:$C$208</c:f>
              <c:strCache>
                <c:ptCount val="1"/>
                <c:pt idx="0">
                  <c:v>Speakers</c:v>
                </c:pt>
              </c:strCache>
            </c:strRef>
          </c:cat>
          <c:val>
            <c:numRef>
              <c:f>'piviot table '!$D$207:$D$208</c:f>
              <c:numCache>
                <c:formatCode>General</c:formatCode>
                <c:ptCount val="1"/>
                <c:pt idx="0">
                  <c:v>1457</c:v>
                </c:pt>
              </c:numCache>
            </c:numRef>
          </c:val>
          <c:extLst>
            <c:ext xmlns:c16="http://schemas.microsoft.com/office/drawing/2014/chart" uri="{C3380CC4-5D6E-409C-BE32-E72D297353CC}">
              <c16:uniqueId val="{00000000-90CC-4FE2-B610-0D9B60426332}"/>
            </c:ext>
          </c:extLst>
        </c:ser>
        <c:dLbls>
          <c:showLegendKey val="0"/>
          <c:showVal val="0"/>
          <c:showCatName val="0"/>
          <c:showSerName val="0"/>
          <c:showPercent val="0"/>
          <c:showBubbleSize val="0"/>
        </c:dLbls>
        <c:gapWidth val="150"/>
        <c:shape val="box"/>
        <c:axId val="1914386063"/>
        <c:axId val="1914380303"/>
        <c:axId val="0"/>
      </c:bar3DChart>
      <c:catAx>
        <c:axId val="191438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80303"/>
        <c:crosses val="autoZero"/>
        <c:auto val="1"/>
        <c:lblAlgn val="ctr"/>
        <c:lblOffset val="100"/>
        <c:noMultiLvlLbl val="0"/>
      </c:catAx>
      <c:valAx>
        <c:axId val="19143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8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025538398333"/>
          <c:y val="8.2771538021514587E-2"/>
          <c:w val="0.85020270680182208"/>
          <c:h val="0.78276757742096725"/>
        </c:manualLayout>
      </c:layout>
      <c:barChart>
        <c:barDir val="bar"/>
        <c:grouping val="clustered"/>
        <c:varyColors val="0"/>
        <c:ser>
          <c:idx val="0"/>
          <c:order val="0"/>
          <c:tx>
            <c:strRef>
              <c:f>'piviot table '!$D$224</c:f>
              <c:strCache>
                <c:ptCount val="1"/>
                <c:pt idx="0">
                  <c:v>Total</c:v>
                </c:pt>
              </c:strCache>
            </c:strRef>
          </c:tx>
          <c:spPr>
            <a:solidFill>
              <a:schemeClr val="accent1"/>
            </a:solidFill>
            <a:ln>
              <a:noFill/>
            </a:ln>
            <a:effectLst/>
          </c:spPr>
          <c:invertIfNegative val="0"/>
          <c:cat>
            <c:strRef>
              <c:f>'piviot table '!$C$225:$C$228</c:f>
              <c:strCache>
                <c:ptCount val="3"/>
                <c:pt idx="0">
                  <c:v>Kiran</c:v>
                </c:pt>
                <c:pt idx="1">
                  <c:v>Gopi</c:v>
                </c:pt>
                <c:pt idx="2">
                  <c:v>Prathap</c:v>
                </c:pt>
              </c:strCache>
            </c:strRef>
          </c:cat>
          <c:val>
            <c:numRef>
              <c:f>'piviot table '!$D$225:$D$228</c:f>
              <c:numCache>
                <c:formatCode>General</c:formatCode>
                <c:ptCount val="3"/>
                <c:pt idx="0">
                  <c:v>4</c:v>
                </c:pt>
                <c:pt idx="1">
                  <c:v>43</c:v>
                </c:pt>
                <c:pt idx="2">
                  <c:v>91</c:v>
                </c:pt>
              </c:numCache>
            </c:numRef>
          </c:val>
          <c:extLst>
            <c:ext xmlns:c16="http://schemas.microsoft.com/office/drawing/2014/chart" uri="{C3380CC4-5D6E-409C-BE32-E72D297353CC}">
              <c16:uniqueId val="{00000000-9968-4B48-9A3E-F4B78D3C3CD1}"/>
            </c:ext>
          </c:extLst>
        </c:ser>
        <c:dLbls>
          <c:showLegendKey val="0"/>
          <c:showVal val="0"/>
          <c:showCatName val="0"/>
          <c:showSerName val="0"/>
          <c:showPercent val="0"/>
          <c:showBubbleSize val="0"/>
        </c:dLbls>
        <c:gapWidth val="182"/>
        <c:axId val="1692373839"/>
        <c:axId val="1692386319"/>
      </c:barChart>
      <c:catAx>
        <c:axId val="169237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86319"/>
        <c:crosses val="autoZero"/>
        <c:auto val="1"/>
        <c:lblAlgn val="ctr"/>
        <c:lblOffset val="100"/>
        <c:noMultiLvlLbl val="0"/>
      </c:catAx>
      <c:valAx>
        <c:axId val="169238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4514435695539"/>
          <c:y val="7.6779292784120476E-2"/>
          <c:w val="0.8214326334208224"/>
          <c:h val="0.76185668488228364"/>
        </c:manualLayout>
      </c:layout>
      <c:barChart>
        <c:barDir val="bar"/>
        <c:grouping val="clustered"/>
        <c:varyColors val="0"/>
        <c:ser>
          <c:idx val="0"/>
          <c:order val="0"/>
          <c:tx>
            <c:strRef>
              <c:f>'piviot table '!$D$234</c:f>
              <c:strCache>
                <c:ptCount val="1"/>
                <c:pt idx="0">
                  <c:v>Total</c:v>
                </c:pt>
              </c:strCache>
            </c:strRef>
          </c:tx>
          <c:spPr>
            <a:solidFill>
              <a:schemeClr val="accent1"/>
            </a:solidFill>
            <a:ln>
              <a:noFill/>
            </a:ln>
            <a:effectLst/>
          </c:spPr>
          <c:invertIfNegative val="0"/>
          <c:cat>
            <c:strRef>
              <c:f>'piviot table '!$C$235:$C$238</c:f>
              <c:strCache>
                <c:ptCount val="3"/>
                <c:pt idx="0">
                  <c:v>Prathap</c:v>
                </c:pt>
                <c:pt idx="1">
                  <c:v>Gopi</c:v>
                </c:pt>
                <c:pt idx="2">
                  <c:v>Kiran</c:v>
                </c:pt>
              </c:strCache>
            </c:strRef>
          </c:cat>
          <c:val>
            <c:numRef>
              <c:f>'piviot table '!$D$235:$D$238</c:f>
              <c:numCache>
                <c:formatCode>General</c:formatCode>
                <c:ptCount val="3"/>
                <c:pt idx="0">
                  <c:v>91</c:v>
                </c:pt>
                <c:pt idx="1">
                  <c:v>43</c:v>
                </c:pt>
                <c:pt idx="2">
                  <c:v>4</c:v>
                </c:pt>
              </c:numCache>
            </c:numRef>
          </c:val>
          <c:extLst>
            <c:ext xmlns:c16="http://schemas.microsoft.com/office/drawing/2014/chart" uri="{C3380CC4-5D6E-409C-BE32-E72D297353CC}">
              <c16:uniqueId val="{00000000-1CDB-4D18-90EE-0EFC1B0E902A}"/>
            </c:ext>
          </c:extLst>
        </c:ser>
        <c:dLbls>
          <c:showLegendKey val="0"/>
          <c:showVal val="0"/>
          <c:showCatName val="0"/>
          <c:showSerName val="0"/>
          <c:showPercent val="0"/>
          <c:showBubbleSize val="0"/>
        </c:dLbls>
        <c:gapWidth val="182"/>
        <c:axId val="1692412239"/>
        <c:axId val="1692400719"/>
      </c:barChart>
      <c:catAx>
        <c:axId val="1692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00719"/>
        <c:crosses val="autoZero"/>
        <c:auto val="1"/>
        <c:lblAlgn val="ctr"/>
        <c:lblOffset val="100"/>
        <c:noMultiLvlLbl val="0"/>
      </c:catAx>
      <c:valAx>
        <c:axId val="169240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 '!$D$246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'!$C$247:$C$250</c:f>
              <c:strCache>
                <c:ptCount val="3"/>
                <c:pt idx="0">
                  <c:v>Prathap</c:v>
                </c:pt>
                <c:pt idx="1">
                  <c:v>Gopi</c:v>
                </c:pt>
                <c:pt idx="2">
                  <c:v>Kiran</c:v>
                </c:pt>
              </c:strCache>
            </c:strRef>
          </c:cat>
          <c:val>
            <c:numRef>
              <c:f>'piviot table '!$D$247:$D$250</c:f>
              <c:numCache>
                <c:formatCode>General</c:formatCode>
                <c:ptCount val="3"/>
                <c:pt idx="0">
                  <c:v>91</c:v>
                </c:pt>
                <c:pt idx="1">
                  <c:v>43</c:v>
                </c:pt>
                <c:pt idx="2">
                  <c:v>4</c:v>
                </c:pt>
              </c:numCache>
            </c:numRef>
          </c:val>
          <c:extLst>
            <c:ext xmlns:c16="http://schemas.microsoft.com/office/drawing/2014/chart" uri="{C3380CC4-5D6E-409C-BE32-E72D297353CC}">
              <c16:uniqueId val="{00000000-A3BE-44CB-8A90-CDCD524B1B6C}"/>
            </c:ext>
          </c:extLst>
        </c:ser>
        <c:dLbls>
          <c:showLegendKey val="0"/>
          <c:showVal val="0"/>
          <c:showCatName val="0"/>
          <c:showSerName val="0"/>
          <c:showPercent val="0"/>
          <c:showBubbleSize val="0"/>
        </c:dLbls>
        <c:gapWidth val="219"/>
        <c:overlap val="-27"/>
        <c:axId val="489722735"/>
        <c:axId val="489728015"/>
      </c:barChart>
      <c:catAx>
        <c:axId val="4897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28015"/>
        <c:crosses val="autoZero"/>
        <c:auto val="1"/>
        <c:lblAlgn val="ctr"/>
        <c:lblOffset val="100"/>
        <c:noMultiLvlLbl val="0"/>
      </c:catAx>
      <c:valAx>
        <c:axId val="48972801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'piviot table '!$C$42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F87-4DFA-A70D-E9A990E72C9F}"/>
              </c:ext>
            </c:extLst>
          </c:dPt>
          <c:dPt>
            <c:idx val="3"/>
            <c:invertIfNegative val="0"/>
            <c:bubble3D val="0"/>
            <c:extLst>
              <c:ext xmlns:c16="http://schemas.microsoft.com/office/drawing/2014/chart" uri="{C3380CC4-5D6E-409C-BE32-E72D297353CC}">
                <c16:uniqueId val="{00000000-9560-47DB-A4BF-BD08F048B8A5}"/>
              </c:ext>
            </c:extLst>
          </c:dPt>
          <c:dPt>
            <c:idx val="4"/>
            <c:invertIfNegative val="0"/>
            <c:bubble3D val="0"/>
            <c:extLst>
              <c:ext xmlns:c16="http://schemas.microsoft.com/office/drawing/2014/chart" uri="{C3380CC4-5D6E-409C-BE32-E72D297353CC}">
                <c16:uniqueId val="{00000001-9560-47DB-A4BF-BD08F048B8A5}"/>
              </c:ext>
            </c:extLst>
          </c:dPt>
          <c:dPt>
            <c:idx val="5"/>
            <c:invertIfNegative val="0"/>
            <c:bubble3D val="0"/>
            <c:extLst>
              <c:ext xmlns:c16="http://schemas.microsoft.com/office/drawing/2014/chart" uri="{C3380CC4-5D6E-409C-BE32-E72D297353CC}">
                <c16:uniqueId val="{00000002-9560-47DB-A4BF-BD08F048B8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'!$B$43:$B$44</c:f>
              <c:strCache>
                <c:ptCount val="1"/>
                <c:pt idx="0">
                  <c:v>Guntur</c:v>
                </c:pt>
              </c:strCache>
            </c:strRef>
          </c:cat>
          <c:val>
            <c:numRef>
              <c:f>'piviot table '!$C$43:$C$44</c:f>
              <c:numCache>
                <c:formatCode>_ * #,##0_ ;_ * \-#,##0_ ;_ * "-"??_ ;_ @_ </c:formatCode>
                <c:ptCount val="1"/>
                <c:pt idx="0">
                  <c:v>120932</c:v>
                </c:pt>
              </c:numCache>
            </c:numRef>
          </c:val>
          <c:extLst>
            <c:ext xmlns:c16="http://schemas.microsoft.com/office/drawing/2014/chart" uri="{C3380CC4-5D6E-409C-BE32-E72D297353CC}">
              <c16:uniqueId val="{00000003-E833-420F-8E78-2C7972C33E7B}"/>
            </c:ext>
          </c:extLst>
        </c:ser>
        <c:dLbls>
          <c:showLegendKey val="0"/>
          <c:showVal val="0"/>
          <c:showCatName val="0"/>
          <c:showSerName val="0"/>
          <c:showPercent val="0"/>
          <c:showBubbleSize val="0"/>
        </c:dLbls>
        <c:gapWidth val="219"/>
        <c:overlap val="-27"/>
        <c:axId val="1937329231"/>
        <c:axId val="1937346031"/>
      </c:barChart>
      <c:catAx>
        <c:axId val="193732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46031"/>
        <c:crosses val="autoZero"/>
        <c:auto val="1"/>
        <c:lblAlgn val="ctr"/>
        <c:lblOffset val="100"/>
        <c:noMultiLvlLbl val="0"/>
      </c:catAx>
      <c:valAx>
        <c:axId val="1937346031"/>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 '!$C$57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'!$B$58:$B$61</c:f>
              <c:strCache>
                <c:ptCount val="3"/>
                <c:pt idx="0">
                  <c:v>LED TV's</c:v>
                </c:pt>
                <c:pt idx="1">
                  <c:v>Mobiles</c:v>
                </c:pt>
                <c:pt idx="2">
                  <c:v>Speakers</c:v>
                </c:pt>
              </c:strCache>
            </c:strRef>
          </c:cat>
          <c:val>
            <c:numRef>
              <c:f>'piviot table '!$C$58:$C$61</c:f>
              <c:numCache>
                <c:formatCode>0.00%</c:formatCode>
                <c:ptCount val="3"/>
                <c:pt idx="0">
                  <c:v>0.6990395741226858</c:v>
                </c:pt>
                <c:pt idx="1">
                  <c:v>0.17042971988118263</c:v>
                </c:pt>
                <c:pt idx="2">
                  <c:v>0.13053070599613154</c:v>
                </c:pt>
              </c:numCache>
            </c:numRef>
          </c:val>
          <c:extLst>
            <c:ext xmlns:c16="http://schemas.microsoft.com/office/drawing/2014/chart" uri="{C3380CC4-5D6E-409C-BE32-E72D297353CC}">
              <c16:uniqueId val="{00000002-5608-4B3E-93E8-CDD84277A46C}"/>
            </c:ext>
          </c:extLst>
        </c:ser>
        <c:dLbls>
          <c:showLegendKey val="0"/>
          <c:showVal val="0"/>
          <c:showCatName val="0"/>
          <c:showSerName val="0"/>
          <c:showPercent val="0"/>
          <c:showBubbleSize val="0"/>
        </c:dLbls>
        <c:gapWidth val="150"/>
        <c:axId val="1374808991"/>
        <c:axId val="1374801311"/>
      </c:barChart>
      <c:catAx>
        <c:axId val="137480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1311"/>
        <c:crosses val="autoZero"/>
        <c:auto val="1"/>
        <c:lblAlgn val="ctr"/>
        <c:lblOffset val="100"/>
        <c:noMultiLvlLbl val="0"/>
      </c:catAx>
      <c:valAx>
        <c:axId val="13748013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089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 '!$G$18</c:f>
              <c:strCache>
                <c:ptCount val="1"/>
                <c:pt idx="0">
                  <c:v>Total</c:v>
                </c:pt>
              </c:strCache>
            </c:strRef>
          </c:tx>
          <c:spPr>
            <a:ln w="28575" cap="rnd">
              <a:solidFill>
                <a:schemeClr val="accent1"/>
              </a:solidFill>
              <a:round/>
            </a:ln>
            <a:effectLst/>
          </c:spPr>
          <c:marker>
            <c:symbol val="none"/>
          </c:marker>
          <c:cat>
            <c:strRef>
              <c:f>'piviot table '!$F$19:$F$23</c:f>
              <c:strCache>
                <c:ptCount val="4"/>
                <c:pt idx="0">
                  <c:v>Jan</c:v>
                </c:pt>
                <c:pt idx="1">
                  <c:v>Feb</c:v>
                </c:pt>
                <c:pt idx="2">
                  <c:v>Apr</c:v>
                </c:pt>
                <c:pt idx="3">
                  <c:v>Nov</c:v>
                </c:pt>
              </c:strCache>
            </c:strRef>
          </c:cat>
          <c:val>
            <c:numRef>
              <c:f>'piviot table '!$G$19:$G$23</c:f>
              <c:numCache>
                <c:formatCode>_ * #,##0_ ;_ * \-#,##0_ ;_ * "-"??_ ;_ @_ </c:formatCode>
                <c:ptCount val="4"/>
                <c:pt idx="0">
                  <c:v>42570</c:v>
                </c:pt>
                <c:pt idx="1">
                  <c:v>7996</c:v>
                </c:pt>
                <c:pt idx="2">
                  <c:v>7996</c:v>
                </c:pt>
                <c:pt idx="3">
                  <c:v>62370</c:v>
                </c:pt>
              </c:numCache>
            </c:numRef>
          </c:val>
          <c:smooth val="0"/>
          <c:extLst>
            <c:ext xmlns:c16="http://schemas.microsoft.com/office/drawing/2014/chart" uri="{C3380CC4-5D6E-409C-BE32-E72D297353CC}">
              <c16:uniqueId val="{00000003-E38D-4492-BB30-885FBFE23EB5}"/>
            </c:ext>
          </c:extLst>
        </c:ser>
        <c:dLbls>
          <c:showLegendKey val="0"/>
          <c:showVal val="0"/>
          <c:showCatName val="0"/>
          <c:showSerName val="0"/>
          <c:showPercent val="0"/>
          <c:showBubbleSize val="0"/>
        </c:dLbls>
        <c:smooth val="0"/>
        <c:axId val="1437790735"/>
        <c:axId val="1437790255"/>
      </c:lineChart>
      <c:catAx>
        <c:axId val="143779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90255"/>
        <c:crosses val="autoZero"/>
        <c:auto val="1"/>
        <c:lblAlgn val="ctr"/>
        <c:lblOffset val="100"/>
        <c:noMultiLvlLbl val="0"/>
      </c:catAx>
      <c:valAx>
        <c:axId val="14377902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 '!$C$131</c:f>
              <c:strCache>
                <c:ptCount val="1"/>
                <c:pt idx="0">
                  <c:v>Total</c:v>
                </c:pt>
              </c:strCache>
            </c:strRef>
          </c:tx>
          <c:spPr>
            <a:solidFill>
              <a:schemeClr val="accent1"/>
            </a:solidFill>
            <a:ln>
              <a:noFill/>
            </a:ln>
            <a:effectLst/>
          </c:spPr>
          <c:invertIfNegative val="0"/>
          <c:cat>
            <c:strRef>
              <c:f>'piviot table '!$B$132:$B$135</c:f>
              <c:strCache>
                <c:ptCount val="3"/>
                <c:pt idx="0">
                  <c:v>4K LED TV's</c:v>
                </c:pt>
                <c:pt idx="1">
                  <c:v>Furniture</c:v>
                </c:pt>
                <c:pt idx="2">
                  <c:v>Laptops</c:v>
                </c:pt>
              </c:strCache>
            </c:strRef>
          </c:cat>
          <c:val>
            <c:numRef>
              <c:f>'piviot table '!$C$132:$C$135</c:f>
              <c:numCache>
                <c:formatCode>General</c:formatCode>
                <c:ptCount val="3"/>
                <c:pt idx="0">
                  <c:v>9923650</c:v>
                </c:pt>
                <c:pt idx="1">
                  <c:v>723768</c:v>
                </c:pt>
                <c:pt idx="2">
                  <c:v>7605632</c:v>
                </c:pt>
              </c:numCache>
            </c:numRef>
          </c:val>
          <c:extLst>
            <c:ext xmlns:c16="http://schemas.microsoft.com/office/drawing/2014/chart" uri="{C3380CC4-5D6E-409C-BE32-E72D297353CC}">
              <c16:uniqueId val="{00000003-2E26-42FF-998F-90D256BDF6EB}"/>
            </c:ext>
          </c:extLst>
        </c:ser>
        <c:dLbls>
          <c:showLegendKey val="0"/>
          <c:showVal val="0"/>
          <c:showCatName val="0"/>
          <c:showSerName val="0"/>
          <c:showPercent val="0"/>
          <c:showBubbleSize val="0"/>
        </c:dLbls>
        <c:gapWidth val="182"/>
        <c:axId val="2142526671"/>
        <c:axId val="2142523791"/>
      </c:barChart>
      <c:catAx>
        <c:axId val="21425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23791"/>
        <c:crosses val="autoZero"/>
        <c:auto val="1"/>
        <c:lblAlgn val="ctr"/>
        <c:lblOffset val="100"/>
        <c:noMultiLvlLbl val="0"/>
      </c:catAx>
      <c:valAx>
        <c:axId val="214252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59517189640566"/>
          <c:y val="6.7902092667643313E-2"/>
          <c:w val="0.89040482810359434"/>
          <c:h val="0.84555321492348989"/>
        </c:manualLayout>
      </c:layout>
      <c:bar3DChart>
        <c:barDir val="col"/>
        <c:grouping val="clustered"/>
        <c:varyColors val="0"/>
        <c:ser>
          <c:idx val="0"/>
          <c:order val="0"/>
          <c:tx>
            <c:strRef>
              <c:f>'piviot table '!$D$206</c:f>
              <c:strCache>
                <c:ptCount val="1"/>
                <c:pt idx="0">
                  <c:v>Total</c:v>
                </c:pt>
              </c:strCache>
            </c:strRef>
          </c:tx>
          <c:spPr>
            <a:solidFill>
              <a:schemeClr val="accent1"/>
            </a:solidFill>
            <a:ln>
              <a:noFill/>
            </a:ln>
            <a:effectLst/>
            <a:sp3d/>
          </c:spPr>
          <c:invertIfNegative val="0"/>
          <c:cat>
            <c:strRef>
              <c:f>'piviot table '!$C$207:$C$208</c:f>
              <c:strCache>
                <c:ptCount val="1"/>
                <c:pt idx="0">
                  <c:v>Speakers</c:v>
                </c:pt>
              </c:strCache>
            </c:strRef>
          </c:cat>
          <c:val>
            <c:numRef>
              <c:f>'piviot table '!$D$207:$D$208</c:f>
              <c:numCache>
                <c:formatCode>General</c:formatCode>
                <c:ptCount val="1"/>
                <c:pt idx="0">
                  <c:v>1457</c:v>
                </c:pt>
              </c:numCache>
            </c:numRef>
          </c:val>
          <c:extLst>
            <c:ext xmlns:c16="http://schemas.microsoft.com/office/drawing/2014/chart" uri="{C3380CC4-5D6E-409C-BE32-E72D297353CC}">
              <c16:uniqueId val="{00000000-FBC8-4866-8253-7DE324B93A56}"/>
            </c:ext>
          </c:extLst>
        </c:ser>
        <c:dLbls>
          <c:showLegendKey val="0"/>
          <c:showVal val="0"/>
          <c:showCatName val="0"/>
          <c:showSerName val="0"/>
          <c:showPercent val="0"/>
          <c:showBubbleSize val="0"/>
        </c:dLbls>
        <c:gapWidth val="150"/>
        <c:shape val="box"/>
        <c:axId val="1914386063"/>
        <c:axId val="1914380303"/>
        <c:axId val="0"/>
      </c:bar3DChart>
      <c:catAx>
        <c:axId val="191438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80303"/>
        <c:crosses val="autoZero"/>
        <c:auto val="1"/>
        <c:lblAlgn val="ctr"/>
        <c:lblOffset val="100"/>
        <c:noMultiLvlLbl val="0"/>
      </c:catAx>
      <c:valAx>
        <c:axId val="19143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8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 '!$D$224</c:f>
              <c:strCache>
                <c:ptCount val="1"/>
                <c:pt idx="0">
                  <c:v>Total</c:v>
                </c:pt>
              </c:strCache>
            </c:strRef>
          </c:tx>
          <c:spPr>
            <a:solidFill>
              <a:schemeClr val="accent1"/>
            </a:solidFill>
            <a:ln>
              <a:noFill/>
            </a:ln>
            <a:effectLst/>
          </c:spPr>
          <c:invertIfNegative val="0"/>
          <c:cat>
            <c:strRef>
              <c:f>'piviot table '!$C$225:$C$228</c:f>
              <c:strCache>
                <c:ptCount val="3"/>
                <c:pt idx="0">
                  <c:v>Kiran</c:v>
                </c:pt>
                <c:pt idx="1">
                  <c:v>Gopi</c:v>
                </c:pt>
                <c:pt idx="2">
                  <c:v>Prathap</c:v>
                </c:pt>
              </c:strCache>
            </c:strRef>
          </c:cat>
          <c:val>
            <c:numRef>
              <c:f>'piviot table '!$D$225:$D$228</c:f>
              <c:numCache>
                <c:formatCode>General</c:formatCode>
                <c:ptCount val="3"/>
                <c:pt idx="0">
                  <c:v>4</c:v>
                </c:pt>
                <c:pt idx="1">
                  <c:v>43</c:v>
                </c:pt>
                <c:pt idx="2">
                  <c:v>91</c:v>
                </c:pt>
              </c:numCache>
            </c:numRef>
          </c:val>
          <c:extLst>
            <c:ext xmlns:c16="http://schemas.microsoft.com/office/drawing/2014/chart" uri="{C3380CC4-5D6E-409C-BE32-E72D297353CC}">
              <c16:uniqueId val="{00000000-18B0-4CB5-B6AF-C458F3E66991}"/>
            </c:ext>
          </c:extLst>
        </c:ser>
        <c:dLbls>
          <c:showLegendKey val="0"/>
          <c:showVal val="0"/>
          <c:showCatName val="0"/>
          <c:showSerName val="0"/>
          <c:showPercent val="0"/>
          <c:showBubbleSize val="0"/>
        </c:dLbls>
        <c:gapWidth val="182"/>
        <c:axId val="1692373839"/>
        <c:axId val="1692386319"/>
      </c:barChart>
      <c:catAx>
        <c:axId val="169237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86319"/>
        <c:crosses val="autoZero"/>
        <c:auto val="1"/>
        <c:lblAlgn val="ctr"/>
        <c:lblOffset val="100"/>
        <c:noMultiLvlLbl val="0"/>
      </c:catAx>
      <c:valAx>
        <c:axId val="169238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 '!$D$234</c:f>
              <c:strCache>
                <c:ptCount val="1"/>
                <c:pt idx="0">
                  <c:v>Total</c:v>
                </c:pt>
              </c:strCache>
            </c:strRef>
          </c:tx>
          <c:spPr>
            <a:solidFill>
              <a:schemeClr val="accent1"/>
            </a:solidFill>
            <a:ln>
              <a:noFill/>
            </a:ln>
            <a:effectLst/>
          </c:spPr>
          <c:invertIfNegative val="0"/>
          <c:cat>
            <c:strRef>
              <c:f>'piviot table '!$C$235:$C$238</c:f>
              <c:strCache>
                <c:ptCount val="3"/>
                <c:pt idx="0">
                  <c:v>Prathap</c:v>
                </c:pt>
                <c:pt idx="1">
                  <c:v>Gopi</c:v>
                </c:pt>
                <c:pt idx="2">
                  <c:v>Kiran</c:v>
                </c:pt>
              </c:strCache>
            </c:strRef>
          </c:cat>
          <c:val>
            <c:numRef>
              <c:f>'piviot table '!$D$235:$D$238</c:f>
              <c:numCache>
                <c:formatCode>General</c:formatCode>
                <c:ptCount val="3"/>
                <c:pt idx="0">
                  <c:v>91</c:v>
                </c:pt>
                <c:pt idx="1">
                  <c:v>43</c:v>
                </c:pt>
                <c:pt idx="2">
                  <c:v>4</c:v>
                </c:pt>
              </c:numCache>
            </c:numRef>
          </c:val>
          <c:extLst>
            <c:ext xmlns:c16="http://schemas.microsoft.com/office/drawing/2014/chart" uri="{C3380CC4-5D6E-409C-BE32-E72D297353CC}">
              <c16:uniqueId val="{00000000-FE82-476A-86F7-F46DB7DECB3F}"/>
            </c:ext>
          </c:extLst>
        </c:ser>
        <c:dLbls>
          <c:showLegendKey val="0"/>
          <c:showVal val="0"/>
          <c:showCatName val="0"/>
          <c:showSerName val="0"/>
          <c:showPercent val="0"/>
          <c:showBubbleSize val="0"/>
        </c:dLbls>
        <c:gapWidth val="182"/>
        <c:axId val="1692412239"/>
        <c:axId val="1692400719"/>
      </c:barChart>
      <c:catAx>
        <c:axId val="1692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00719"/>
        <c:crosses val="autoZero"/>
        <c:auto val="1"/>
        <c:lblAlgn val="ctr"/>
        <c:lblOffset val="100"/>
        <c:noMultiLvlLbl val="0"/>
      </c:catAx>
      <c:valAx>
        <c:axId val="169240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[sales-performance-analysis.xlsx]piviot table !PivotTable11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 '!$D$246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 '!$C$247:$C$250</c:f>
              <c:strCache>
                <c:ptCount val="3"/>
                <c:pt idx="0">
                  <c:v>Prathap</c:v>
                </c:pt>
                <c:pt idx="1">
                  <c:v>Gopi</c:v>
                </c:pt>
                <c:pt idx="2">
                  <c:v>Kiran</c:v>
                </c:pt>
              </c:strCache>
            </c:strRef>
          </c:cat>
          <c:val>
            <c:numRef>
              <c:f>'piviot table '!$D$247:$D$250</c:f>
              <c:numCache>
                <c:formatCode>General</c:formatCode>
                <c:ptCount val="3"/>
                <c:pt idx="0">
                  <c:v>91</c:v>
                </c:pt>
                <c:pt idx="1">
                  <c:v>43</c:v>
                </c:pt>
                <c:pt idx="2">
                  <c:v>4</c:v>
                </c:pt>
              </c:numCache>
            </c:numRef>
          </c:val>
          <c:extLst>
            <c:ext xmlns:c16="http://schemas.microsoft.com/office/drawing/2014/chart" uri="{C3380CC4-5D6E-409C-BE32-E72D297353CC}">
              <c16:uniqueId val="{00000000-208D-4B3E-9AF6-D38F21C974A8}"/>
            </c:ext>
          </c:extLst>
        </c:ser>
        <c:dLbls>
          <c:showLegendKey val="0"/>
          <c:showVal val="0"/>
          <c:showCatName val="0"/>
          <c:showSerName val="0"/>
          <c:showPercent val="0"/>
          <c:showBubbleSize val="0"/>
        </c:dLbls>
        <c:gapWidth val="219"/>
        <c:overlap val="-27"/>
        <c:axId val="489722735"/>
        <c:axId val="489728015"/>
      </c:barChart>
      <c:catAx>
        <c:axId val="4897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28015"/>
        <c:crosses val="autoZero"/>
        <c:auto val="1"/>
        <c:lblAlgn val="ctr"/>
        <c:lblOffset val="100"/>
        <c:noMultiLvlLbl val="0"/>
      </c:catAx>
      <c:valAx>
        <c:axId val="48972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ABOUT!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hyperlink" Target="#'SALES MANS'!A1"/><Relationship Id="rId1" Type="http://schemas.openxmlformats.org/officeDocument/2006/relationships/hyperlink" Target="#PRODUCTS!A1"/><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image" Target="../media/image2.svg"/><Relationship Id="rId10" Type="http://schemas.openxmlformats.org/officeDocument/2006/relationships/chart" Target="../charts/chart1.xml"/><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SALES MANS'!A1"/><Relationship Id="rId7" Type="http://schemas.openxmlformats.org/officeDocument/2006/relationships/chart" Target="../charts/chart5.xml"/><Relationship Id="rId2" Type="http://schemas.openxmlformats.org/officeDocument/2006/relationships/hyperlink" Target="#ABOUT!A1"/><Relationship Id="rId1" Type="http://schemas.openxmlformats.org/officeDocument/2006/relationships/hyperlink" Target="#'DASH BOARD'!A1"/><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 MANS'!A1"/><Relationship Id="rId7" Type="http://schemas.openxmlformats.org/officeDocument/2006/relationships/chart" Target="../charts/chart8.xml"/><Relationship Id="rId2" Type="http://schemas.openxmlformats.org/officeDocument/2006/relationships/hyperlink" Target="#PRODUCTS!A1"/><Relationship Id="rId1" Type="http://schemas.openxmlformats.org/officeDocument/2006/relationships/hyperlink" Target="#'DASH BOARD'!A1"/><Relationship Id="rId6" Type="http://schemas.openxmlformats.org/officeDocument/2006/relationships/chart" Target="../charts/chart7.xml"/><Relationship Id="rId5" Type="http://schemas.openxmlformats.org/officeDocument/2006/relationships/image" Target="../media/image2.sv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hyperlink" Target="#ABOUT!A1"/><Relationship Id="rId2" Type="http://schemas.openxmlformats.org/officeDocument/2006/relationships/hyperlink" Target="#'SALES MANS'!A1"/><Relationship Id="rId1" Type="http://schemas.openxmlformats.org/officeDocument/2006/relationships/hyperlink" Target="#'DASH BOARD'!A1"/><Relationship Id="rId5" Type="http://schemas.openxmlformats.org/officeDocument/2006/relationships/image" Target="../media/image8.sv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523875</xdr:colOff>
      <xdr:row>50</xdr:row>
      <xdr:rowOff>38100</xdr:rowOff>
    </xdr:to>
    <xdr:sp macro="" textlink="">
      <xdr:nvSpPr>
        <xdr:cNvPr id="2" name="Rectangle: Rounded Corners 1">
          <a:extLst>
            <a:ext uri="{FF2B5EF4-FFF2-40B4-BE49-F238E27FC236}">
              <a16:creationId xmlns:a16="http://schemas.microsoft.com/office/drawing/2014/main" id="{D04FDA98-298C-DEBF-232A-B36B33651A7E}"/>
            </a:ext>
          </a:extLst>
        </xdr:cNvPr>
        <xdr:cNvSpPr/>
      </xdr:nvSpPr>
      <xdr:spPr>
        <a:xfrm>
          <a:off x="0" y="0"/>
          <a:ext cx="15763875" cy="9563100"/>
        </a:xfrm>
        <a:prstGeom prst="roundRect">
          <a:avLst>
            <a:gd name="adj" fmla="val 134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0</xdr:row>
      <xdr:rowOff>0</xdr:rowOff>
    </xdr:from>
    <xdr:to>
      <xdr:col>29</xdr:col>
      <xdr:colOff>76200</xdr:colOff>
      <xdr:row>50</xdr:row>
      <xdr:rowOff>38100</xdr:rowOff>
    </xdr:to>
    <xdr:sp macro="" textlink="">
      <xdr:nvSpPr>
        <xdr:cNvPr id="8" name="Rectangle: Rounded Corners 7">
          <a:extLst>
            <a:ext uri="{FF2B5EF4-FFF2-40B4-BE49-F238E27FC236}">
              <a16:creationId xmlns:a16="http://schemas.microsoft.com/office/drawing/2014/main" id="{D14CA757-403F-4315-A306-2C559214CE7B}"/>
            </a:ext>
          </a:extLst>
        </xdr:cNvPr>
        <xdr:cNvSpPr/>
      </xdr:nvSpPr>
      <xdr:spPr>
        <a:xfrm>
          <a:off x="1990725" y="0"/>
          <a:ext cx="15763875" cy="9563100"/>
        </a:xfrm>
        <a:prstGeom prst="roundRect">
          <a:avLst>
            <a:gd name="adj" fmla="val 134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a:t>
          </a:r>
        </a:p>
      </xdr:txBody>
    </xdr:sp>
    <xdr:clientData/>
  </xdr:twoCellAnchor>
  <xdr:twoCellAnchor>
    <xdr:from>
      <xdr:col>0</xdr:col>
      <xdr:colOff>85725</xdr:colOff>
      <xdr:row>7</xdr:row>
      <xdr:rowOff>19050</xdr:rowOff>
    </xdr:from>
    <xdr:to>
      <xdr:col>3</xdr:col>
      <xdr:colOff>95250</xdr:colOff>
      <xdr:row>9</xdr:row>
      <xdr:rowOff>152400</xdr:rowOff>
    </xdr:to>
    <xdr:sp macro="" textlink="">
      <xdr:nvSpPr>
        <xdr:cNvPr id="9" name="Rectangle: Rounded Corners 8">
          <a:extLst>
            <a:ext uri="{FF2B5EF4-FFF2-40B4-BE49-F238E27FC236}">
              <a16:creationId xmlns:a16="http://schemas.microsoft.com/office/drawing/2014/main" id="{0E2C848C-DACF-063C-469D-1F9DFA976963}"/>
            </a:ext>
          </a:extLst>
        </xdr:cNvPr>
        <xdr:cNvSpPr/>
      </xdr:nvSpPr>
      <xdr:spPr>
        <a:xfrm>
          <a:off x="85725" y="1352550"/>
          <a:ext cx="1838325" cy="514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DASHBOARD</a:t>
          </a:r>
        </a:p>
      </xdr:txBody>
    </xdr:sp>
    <xdr:clientData/>
  </xdr:twoCellAnchor>
  <xdr:twoCellAnchor>
    <xdr:from>
      <xdr:col>0</xdr:col>
      <xdr:colOff>66675</xdr:colOff>
      <xdr:row>10</xdr:row>
      <xdr:rowOff>180975</xdr:rowOff>
    </xdr:from>
    <xdr:to>
      <xdr:col>3</xdr:col>
      <xdr:colOff>76200</xdr:colOff>
      <xdr:row>13</xdr:row>
      <xdr:rowOff>123825</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BF788175-BAA7-78B7-A779-F3F8BA101C2A}"/>
            </a:ext>
          </a:extLst>
        </xdr:cNvPr>
        <xdr:cNvSpPr/>
      </xdr:nvSpPr>
      <xdr:spPr>
        <a:xfrm>
          <a:off x="66675" y="2085975"/>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PRODUCTS</a:t>
          </a:r>
        </a:p>
      </xdr:txBody>
    </xdr:sp>
    <xdr:clientData/>
  </xdr:twoCellAnchor>
  <xdr:twoCellAnchor>
    <xdr:from>
      <xdr:col>0</xdr:col>
      <xdr:colOff>76200</xdr:colOff>
      <xdr:row>14</xdr:row>
      <xdr:rowOff>180975</xdr:rowOff>
    </xdr:from>
    <xdr:to>
      <xdr:col>3</xdr:col>
      <xdr:colOff>85725</xdr:colOff>
      <xdr:row>17</xdr:row>
      <xdr:rowOff>123825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EBA2FECB-4956-BE03-14D1-27D0C98F3C97}"/>
            </a:ext>
          </a:extLst>
        </xdr:cNvPr>
        <xdr:cNvSpPr/>
      </xdr:nvSpPr>
      <xdr:spPr>
        <a:xfrm>
          <a:off x="76200" y="2847975"/>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SALESMANS</a:t>
          </a:r>
        </a:p>
      </xdr:txBody>
    </xdr:sp>
    <xdr:clientData/>
  </xdr:twoCellAnchor>
  <xdr:twoCellAnchor>
    <xdr:from>
      <xdr:col>0</xdr:col>
      <xdr:colOff>66675</xdr:colOff>
      <xdr:row>19</xdr:row>
      <xdr:rowOff>0</xdr:rowOff>
    </xdr:from>
    <xdr:to>
      <xdr:col>3</xdr:col>
      <xdr:colOff>76200</xdr:colOff>
      <xdr:row>21</xdr:row>
      <xdr:rowOff>133350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F706E885-F0D7-028C-0D02-7E77AF99A4E0}"/>
            </a:ext>
          </a:extLst>
        </xdr:cNvPr>
        <xdr:cNvSpPr/>
      </xdr:nvSpPr>
      <xdr:spPr>
        <a:xfrm>
          <a:off x="66675" y="3619500"/>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ABOUT</a:t>
          </a:r>
        </a:p>
      </xdr:txBody>
    </xdr:sp>
    <xdr:clientData/>
  </xdr:twoCellAnchor>
  <xdr:twoCellAnchor editAs="oneCell">
    <xdr:from>
      <xdr:col>3</xdr:col>
      <xdr:colOff>257175</xdr:colOff>
      <xdr:row>0</xdr:row>
      <xdr:rowOff>57147</xdr:rowOff>
    </xdr:from>
    <xdr:to>
      <xdr:col>12</xdr:col>
      <xdr:colOff>561975</xdr:colOff>
      <xdr:row>6</xdr:row>
      <xdr:rowOff>104774</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E90A7572-4AEB-4A0F-BED9-3DDCE314566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72528" y="57147"/>
              <a:ext cx="5750859" cy="1190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0</xdr:row>
      <xdr:rowOff>47625</xdr:rowOff>
    </xdr:from>
    <xdr:to>
      <xdr:col>20</xdr:col>
      <xdr:colOff>285750</xdr:colOff>
      <xdr:row>6</xdr:row>
      <xdr:rowOff>123825</xdr:rowOff>
    </xdr:to>
    <mc:AlternateContent xmlns:mc="http://schemas.openxmlformats.org/markup-compatibility/2006" xmlns:a14="http://schemas.microsoft.com/office/drawing/2010/main">
      <mc:Choice Requires="a14">
        <xdr:graphicFrame macro="">
          <xdr:nvGraphicFramePr>
            <xdr:cNvPr id="14" name="Place 1">
              <a:extLst>
                <a:ext uri="{FF2B5EF4-FFF2-40B4-BE49-F238E27FC236}">
                  <a16:creationId xmlns:a16="http://schemas.microsoft.com/office/drawing/2014/main" id="{63C2E2D8-424B-4234-9409-3A87D2D3C9D6}"/>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876054" y="47625"/>
              <a:ext cx="4512049"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238124</xdr:colOff>
      <xdr:row>6</xdr:row>
      <xdr:rowOff>161925</xdr:rowOff>
    </xdr:from>
    <xdr:to>
      <xdr:col>20</xdr:col>
      <xdr:colOff>276225</xdr:colOff>
      <xdr:row>10</xdr:row>
      <xdr:rowOff>171450</xdr:rowOff>
    </xdr:to>
    <mc:AlternateContent xmlns:mc="http://schemas.openxmlformats.org/markup-compatibility/2006" xmlns:a14="http://schemas.microsoft.com/office/drawing/2010/main">
      <mc:Choice Requires="a14">
        <xdr:graphicFrame macro="">
          <xdr:nvGraphicFramePr>
            <xdr:cNvPr id="15" name="Products 1">
              <a:extLst>
                <a:ext uri="{FF2B5EF4-FFF2-40B4-BE49-F238E27FC236}">
                  <a16:creationId xmlns:a16="http://schemas.microsoft.com/office/drawing/2014/main" id="{D9DD2592-7071-4634-9648-DFBFEB5ACE2D}"/>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053477" y="1304925"/>
              <a:ext cx="10325101"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11</xdr:row>
      <xdr:rowOff>66675</xdr:rowOff>
    </xdr:from>
    <xdr:to>
      <xdr:col>4</xdr:col>
      <xdr:colOff>152400</xdr:colOff>
      <xdr:row>14</xdr:row>
      <xdr:rowOff>95250</xdr:rowOff>
    </xdr:to>
    <xdr:pic>
      <xdr:nvPicPr>
        <xdr:cNvPr id="19" name="Graphic 18" descr="Bar graph with upward trend">
          <a:extLst>
            <a:ext uri="{FF2B5EF4-FFF2-40B4-BE49-F238E27FC236}">
              <a16:creationId xmlns:a16="http://schemas.microsoft.com/office/drawing/2014/main" id="{C892669B-3A6D-E9FE-4EAB-CCD6C0BEC5E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90725" y="2162175"/>
          <a:ext cx="600075" cy="600075"/>
        </a:xfrm>
        <a:prstGeom prst="rect">
          <a:avLst/>
        </a:prstGeom>
      </xdr:spPr>
    </xdr:pic>
    <xdr:clientData/>
  </xdr:twoCellAnchor>
  <xdr:twoCellAnchor>
    <xdr:from>
      <xdr:col>4</xdr:col>
      <xdr:colOff>66676</xdr:colOff>
      <xdr:row>11</xdr:row>
      <xdr:rowOff>104775</xdr:rowOff>
    </xdr:from>
    <xdr:to>
      <xdr:col>6</xdr:col>
      <xdr:colOff>114300</xdr:colOff>
      <xdr:row>13</xdr:row>
      <xdr:rowOff>142875</xdr:rowOff>
    </xdr:to>
    <xdr:sp macro="" textlink="">
      <xdr:nvSpPr>
        <xdr:cNvPr id="20" name="Rectangle: Rounded Corners 19">
          <a:extLst>
            <a:ext uri="{FF2B5EF4-FFF2-40B4-BE49-F238E27FC236}">
              <a16:creationId xmlns:a16="http://schemas.microsoft.com/office/drawing/2014/main" id="{9377F351-B328-126D-FA0D-3DCB8852964F}"/>
            </a:ext>
          </a:extLst>
        </xdr:cNvPr>
        <xdr:cNvSpPr/>
      </xdr:nvSpPr>
      <xdr:spPr>
        <a:xfrm>
          <a:off x="2505076" y="2200275"/>
          <a:ext cx="1266824"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lumMod val="75000"/>
                </a:schemeClr>
              </a:solidFill>
            </a:rPr>
            <a:t>Analytics</a:t>
          </a:r>
        </a:p>
      </xdr:txBody>
    </xdr:sp>
    <xdr:clientData/>
  </xdr:twoCellAnchor>
  <xdr:twoCellAnchor>
    <xdr:from>
      <xdr:col>3</xdr:col>
      <xdr:colOff>238125</xdr:colOff>
      <xdr:row>14</xdr:row>
      <xdr:rowOff>95250</xdr:rowOff>
    </xdr:from>
    <xdr:to>
      <xdr:col>7</xdr:col>
      <xdr:colOff>276225</xdr:colOff>
      <xdr:row>17</xdr:row>
      <xdr:rowOff>66675</xdr:rowOff>
    </xdr:to>
    <xdr:sp macro="" textlink="">
      <xdr:nvSpPr>
        <xdr:cNvPr id="21" name="Rectangle: Rounded Corners 20">
          <a:extLst>
            <a:ext uri="{FF2B5EF4-FFF2-40B4-BE49-F238E27FC236}">
              <a16:creationId xmlns:a16="http://schemas.microsoft.com/office/drawing/2014/main" id="{18AE01BD-CC3A-ED3B-A4E6-E723E598EC6F}"/>
            </a:ext>
          </a:extLst>
        </xdr:cNvPr>
        <xdr:cNvSpPr/>
      </xdr:nvSpPr>
      <xdr:spPr>
        <a:xfrm>
          <a:off x="2066925" y="2762250"/>
          <a:ext cx="2476500" cy="5429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400051</xdr:colOff>
      <xdr:row>14</xdr:row>
      <xdr:rowOff>95250</xdr:rowOff>
    </xdr:from>
    <xdr:to>
      <xdr:col>11</xdr:col>
      <xdr:colOff>361951</xdr:colOff>
      <xdr:row>17</xdr:row>
      <xdr:rowOff>66675</xdr:rowOff>
    </xdr:to>
    <xdr:sp macro="" textlink="">
      <xdr:nvSpPr>
        <xdr:cNvPr id="22" name="Rectangle: Rounded Corners 21">
          <a:extLst>
            <a:ext uri="{FF2B5EF4-FFF2-40B4-BE49-F238E27FC236}">
              <a16:creationId xmlns:a16="http://schemas.microsoft.com/office/drawing/2014/main" id="{7136C654-D88C-C4AA-8A9F-60874269E78C}"/>
            </a:ext>
          </a:extLst>
        </xdr:cNvPr>
        <xdr:cNvSpPr/>
      </xdr:nvSpPr>
      <xdr:spPr>
        <a:xfrm>
          <a:off x="4667251" y="2762250"/>
          <a:ext cx="2400300" cy="5429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257175</xdr:colOff>
      <xdr:row>18</xdr:row>
      <xdr:rowOff>19051</xdr:rowOff>
    </xdr:from>
    <xdr:to>
      <xdr:col>11</xdr:col>
      <xdr:colOff>342900</xdr:colOff>
      <xdr:row>29</xdr:row>
      <xdr:rowOff>180975</xdr:rowOff>
    </xdr:to>
    <xdr:sp macro="" textlink="">
      <xdr:nvSpPr>
        <xdr:cNvPr id="27" name="Rectangle 26">
          <a:extLst>
            <a:ext uri="{FF2B5EF4-FFF2-40B4-BE49-F238E27FC236}">
              <a16:creationId xmlns:a16="http://schemas.microsoft.com/office/drawing/2014/main" id="{5E99CE29-1DA1-1A42-1E4C-4C9F2B90494E}"/>
            </a:ext>
          </a:extLst>
        </xdr:cNvPr>
        <xdr:cNvSpPr/>
      </xdr:nvSpPr>
      <xdr:spPr>
        <a:xfrm>
          <a:off x="2085975" y="3448051"/>
          <a:ext cx="4962525" cy="22574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3</xdr:col>
      <xdr:colOff>476250</xdr:colOff>
      <xdr:row>14</xdr:row>
      <xdr:rowOff>95250</xdr:rowOff>
    </xdr:from>
    <xdr:to>
      <xdr:col>7</xdr:col>
      <xdr:colOff>276225</xdr:colOff>
      <xdr:row>17</xdr:row>
      <xdr:rowOff>66675</xdr:rowOff>
    </xdr:to>
    <xdr:sp macro="" textlink="">
      <xdr:nvSpPr>
        <xdr:cNvPr id="28" name="Rectangle: Rounded Corners 27">
          <a:extLst>
            <a:ext uri="{FF2B5EF4-FFF2-40B4-BE49-F238E27FC236}">
              <a16:creationId xmlns:a16="http://schemas.microsoft.com/office/drawing/2014/main" id="{B346FC39-1F90-B6F6-CBD5-2ECD974FAE87}"/>
            </a:ext>
          </a:extLst>
        </xdr:cNvPr>
        <xdr:cNvSpPr/>
      </xdr:nvSpPr>
      <xdr:spPr>
        <a:xfrm>
          <a:off x="2305050" y="2762250"/>
          <a:ext cx="2238375" cy="5429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solidFill>
            </a:rPr>
            <a:t>TOTAL</a:t>
          </a:r>
          <a:r>
            <a:rPr lang="en-IN" sz="1100" b="1" baseline="0">
              <a:solidFill>
                <a:schemeClr val="accent2"/>
              </a:solidFill>
            </a:rPr>
            <a:t> AMOUNT</a:t>
          </a:r>
          <a:endParaRPr lang="en-IN" sz="1100" b="1">
            <a:solidFill>
              <a:schemeClr val="accent2"/>
            </a:solidFill>
          </a:endParaRPr>
        </a:p>
      </xdr:txBody>
    </xdr:sp>
    <xdr:clientData/>
  </xdr:twoCellAnchor>
  <xdr:twoCellAnchor>
    <xdr:from>
      <xdr:col>8</xdr:col>
      <xdr:colOff>1</xdr:colOff>
      <xdr:row>14</xdr:row>
      <xdr:rowOff>95251</xdr:rowOff>
    </xdr:from>
    <xdr:to>
      <xdr:col>11</xdr:col>
      <xdr:colOff>361950</xdr:colOff>
      <xdr:row>17</xdr:row>
      <xdr:rowOff>57150</xdr:rowOff>
    </xdr:to>
    <xdr:sp macro="" textlink="">
      <xdr:nvSpPr>
        <xdr:cNvPr id="29" name="Rectangle: Rounded Corners 28">
          <a:extLst>
            <a:ext uri="{FF2B5EF4-FFF2-40B4-BE49-F238E27FC236}">
              <a16:creationId xmlns:a16="http://schemas.microsoft.com/office/drawing/2014/main" id="{5FCC05AE-04CB-0ACA-8F3C-55ABC524BC47}"/>
            </a:ext>
          </a:extLst>
        </xdr:cNvPr>
        <xdr:cNvSpPr/>
      </xdr:nvSpPr>
      <xdr:spPr>
        <a:xfrm>
          <a:off x="4876801" y="2762251"/>
          <a:ext cx="2190749" cy="53339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solidFill>
            </a:rPr>
            <a:t>TOTAL</a:t>
          </a:r>
          <a:r>
            <a:rPr lang="en-IN" sz="1100" b="1" baseline="0">
              <a:solidFill>
                <a:schemeClr val="accent2"/>
              </a:solidFill>
            </a:rPr>
            <a:t> SALES</a:t>
          </a:r>
          <a:endParaRPr lang="en-IN" sz="1100" b="1">
            <a:solidFill>
              <a:schemeClr val="accent2"/>
            </a:solidFill>
          </a:endParaRPr>
        </a:p>
      </xdr:txBody>
    </xdr:sp>
    <xdr:clientData/>
  </xdr:twoCellAnchor>
  <xdr:twoCellAnchor editAs="oneCell">
    <xdr:from>
      <xdr:col>3</xdr:col>
      <xdr:colOff>514350</xdr:colOff>
      <xdr:row>14</xdr:row>
      <xdr:rowOff>152400</xdr:rowOff>
    </xdr:from>
    <xdr:to>
      <xdr:col>4</xdr:col>
      <xdr:colOff>419100</xdr:colOff>
      <xdr:row>17</xdr:row>
      <xdr:rowOff>19050</xdr:rowOff>
    </xdr:to>
    <xdr:pic>
      <xdr:nvPicPr>
        <xdr:cNvPr id="31" name="Graphic 30" descr="Rupee">
          <a:extLst>
            <a:ext uri="{FF2B5EF4-FFF2-40B4-BE49-F238E27FC236}">
              <a16:creationId xmlns:a16="http://schemas.microsoft.com/office/drawing/2014/main" id="{DA5B166B-2F41-3D55-66D1-EA396BC8B4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43150" y="2819400"/>
          <a:ext cx="514350" cy="438150"/>
        </a:xfrm>
        <a:prstGeom prst="rect">
          <a:avLst/>
        </a:prstGeom>
      </xdr:spPr>
    </xdr:pic>
    <xdr:clientData/>
  </xdr:twoCellAnchor>
  <xdr:twoCellAnchor editAs="oneCell">
    <xdr:from>
      <xdr:col>8</xdr:col>
      <xdr:colOff>28575</xdr:colOff>
      <xdr:row>14</xdr:row>
      <xdr:rowOff>123825</xdr:rowOff>
    </xdr:from>
    <xdr:to>
      <xdr:col>8</xdr:col>
      <xdr:colOff>571501</xdr:colOff>
      <xdr:row>17</xdr:row>
      <xdr:rowOff>57150</xdr:rowOff>
    </xdr:to>
    <xdr:pic>
      <xdr:nvPicPr>
        <xdr:cNvPr id="33" name="Graphic 32" descr="Bar graph with upward trend">
          <a:extLst>
            <a:ext uri="{FF2B5EF4-FFF2-40B4-BE49-F238E27FC236}">
              <a16:creationId xmlns:a16="http://schemas.microsoft.com/office/drawing/2014/main" id="{8BC35C71-0D5F-D67E-C5F6-8DB4731896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05375" y="2790825"/>
          <a:ext cx="542926" cy="504825"/>
        </a:xfrm>
        <a:prstGeom prst="rect">
          <a:avLst/>
        </a:prstGeom>
      </xdr:spPr>
    </xdr:pic>
    <xdr:clientData/>
  </xdr:twoCellAnchor>
  <xdr:twoCellAnchor>
    <xdr:from>
      <xdr:col>12</xdr:col>
      <xdr:colOff>514350</xdr:colOff>
      <xdr:row>11</xdr:row>
      <xdr:rowOff>38100</xdr:rowOff>
    </xdr:from>
    <xdr:to>
      <xdr:col>15</xdr:col>
      <xdr:colOff>95250</xdr:colOff>
      <xdr:row>12</xdr:row>
      <xdr:rowOff>85725</xdr:rowOff>
    </xdr:to>
    <xdr:sp macro="" textlink="">
      <xdr:nvSpPr>
        <xdr:cNvPr id="35" name="Rectangle 34">
          <a:extLst>
            <a:ext uri="{FF2B5EF4-FFF2-40B4-BE49-F238E27FC236}">
              <a16:creationId xmlns:a16="http://schemas.microsoft.com/office/drawing/2014/main" id="{9BC06695-3E87-468B-9F5C-D5D5ADC3C53D}"/>
            </a:ext>
          </a:extLst>
        </xdr:cNvPr>
        <xdr:cNvSpPr/>
      </xdr:nvSpPr>
      <xdr:spPr>
        <a:xfrm>
          <a:off x="7829550" y="2133600"/>
          <a:ext cx="1409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11</xdr:col>
      <xdr:colOff>447675</xdr:colOff>
      <xdr:row>11</xdr:row>
      <xdr:rowOff>95251</xdr:rowOff>
    </xdr:from>
    <xdr:to>
      <xdr:col>20</xdr:col>
      <xdr:colOff>295274</xdr:colOff>
      <xdr:row>20</xdr:row>
      <xdr:rowOff>19051</xdr:rowOff>
    </xdr:to>
    <xdr:graphicFrame macro="">
      <xdr:nvGraphicFramePr>
        <xdr:cNvPr id="37" name="Chart 36">
          <a:extLst>
            <a:ext uri="{FF2B5EF4-FFF2-40B4-BE49-F238E27FC236}">
              <a16:creationId xmlns:a16="http://schemas.microsoft.com/office/drawing/2014/main" id="{02111853-1729-4878-B163-4E4D88651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152399</xdr:colOff>
      <xdr:row>11</xdr:row>
      <xdr:rowOff>133350</xdr:rowOff>
    </xdr:from>
    <xdr:to>
      <xdr:col>15</xdr:col>
      <xdr:colOff>409574</xdr:colOff>
      <xdr:row>13</xdr:row>
      <xdr:rowOff>9526</xdr:rowOff>
    </xdr:to>
    <xdr:sp macro="" textlink="">
      <xdr:nvSpPr>
        <xdr:cNvPr id="36" name="Rectangle 35">
          <a:extLst>
            <a:ext uri="{FF2B5EF4-FFF2-40B4-BE49-F238E27FC236}">
              <a16:creationId xmlns:a16="http://schemas.microsoft.com/office/drawing/2014/main" id="{8BC30F61-65DB-3E46-1A03-215009F7ED33}"/>
            </a:ext>
          </a:extLst>
        </xdr:cNvPr>
        <xdr:cNvSpPr/>
      </xdr:nvSpPr>
      <xdr:spPr>
        <a:xfrm>
          <a:off x="8077199" y="2228850"/>
          <a:ext cx="1476375" cy="2571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n>
                <a:noFill/>
              </a:ln>
              <a:solidFill>
                <a:schemeClr val="accent2"/>
              </a:solidFill>
            </a:rPr>
            <a:t>SALES BY PLACES</a:t>
          </a:r>
        </a:p>
      </xdr:txBody>
    </xdr:sp>
    <xdr:clientData/>
  </xdr:twoCellAnchor>
  <xdr:twoCellAnchor>
    <xdr:from>
      <xdr:col>4</xdr:col>
      <xdr:colOff>447675</xdr:colOff>
      <xdr:row>15</xdr:row>
      <xdr:rowOff>133350</xdr:rowOff>
    </xdr:from>
    <xdr:to>
      <xdr:col>7</xdr:col>
      <xdr:colOff>95250</xdr:colOff>
      <xdr:row>17</xdr:row>
      <xdr:rowOff>19050</xdr:rowOff>
    </xdr:to>
    <xdr:sp macro="" textlink="'piviot table '!F72">
      <xdr:nvSpPr>
        <xdr:cNvPr id="39" name="Rectangle 38">
          <a:extLst>
            <a:ext uri="{FF2B5EF4-FFF2-40B4-BE49-F238E27FC236}">
              <a16:creationId xmlns:a16="http://schemas.microsoft.com/office/drawing/2014/main" id="{1ED59924-9F0F-4302-F77A-6D2CDEFCF540}"/>
            </a:ext>
          </a:extLst>
        </xdr:cNvPr>
        <xdr:cNvSpPr/>
      </xdr:nvSpPr>
      <xdr:spPr>
        <a:xfrm>
          <a:off x="2886075" y="2990850"/>
          <a:ext cx="1476375"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B8EA6D-A97D-4947-9727-8276B1153094}" type="TxLink">
            <a:rPr lang="en-US" sz="1200" b="1" i="0" u="none" strike="noStrike">
              <a:solidFill>
                <a:srgbClr val="000000"/>
              </a:solidFill>
              <a:latin typeface="Aptos Narrow"/>
            </a:rPr>
            <a:pPr algn="l"/>
            <a:t> 1,20,932 </a:t>
          </a:fld>
          <a:endParaRPr lang="en-IN" sz="1200" b="1">
            <a:solidFill>
              <a:schemeClr val="tx1"/>
            </a:solidFill>
          </a:endParaRPr>
        </a:p>
      </xdr:txBody>
    </xdr:sp>
    <xdr:clientData/>
  </xdr:twoCellAnchor>
  <xdr:twoCellAnchor>
    <xdr:from>
      <xdr:col>9</xdr:col>
      <xdr:colOff>0</xdr:colOff>
      <xdr:row>15</xdr:row>
      <xdr:rowOff>142875</xdr:rowOff>
    </xdr:from>
    <xdr:to>
      <xdr:col>11</xdr:col>
      <xdr:colOff>257175</xdr:colOff>
      <xdr:row>17</xdr:row>
      <xdr:rowOff>28575</xdr:rowOff>
    </xdr:to>
    <xdr:sp macro="" textlink="'piviot table '!F77">
      <xdr:nvSpPr>
        <xdr:cNvPr id="40" name="Rectangle 39">
          <a:extLst>
            <a:ext uri="{FF2B5EF4-FFF2-40B4-BE49-F238E27FC236}">
              <a16:creationId xmlns:a16="http://schemas.microsoft.com/office/drawing/2014/main" id="{6A98168C-25EA-6CF6-1C47-706FABAA5CCB}"/>
            </a:ext>
          </a:extLst>
        </xdr:cNvPr>
        <xdr:cNvSpPr/>
      </xdr:nvSpPr>
      <xdr:spPr>
        <a:xfrm>
          <a:off x="5486400" y="3000375"/>
          <a:ext cx="1476375"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629B71-BD90-480B-B195-E2A9619A6706}" type="TxLink">
            <a:rPr lang="en-US" sz="1200" b="1" i="0" u="none" strike="noStrike">
              <a:solidFill>
                <a:srgbClr val="000000"/>
              </a:solidFill>
              <a:latin typeface="Aptos Narrow"/>
            </a:rPr>
            <a:pPr algn="l"/>
            <a:t>5</a:t>
          </a:fld>
          <a:endParaRPr lang="en-US" sz="1200" b="1"/>
        </a:p>
      </xdr:txBody>
    </xdr:sp>
    <xdr:clientData/>
  </xdr:twoCellAnchor>
  <xdr:twoCellAnchor>
    <xdr:from>
      <xdr:col>11</xdr:col>
      <xdr:colOff>447675</xdr:colOff>
      <xdr:row>21</xdr:row>
      <xdr:rowOff>9525</xdr:rowOff>
    </xdr:from>
    <xdr:to>
      <xdr:col>20</xdr:col>
      <xdr:colOff>333375</xdr:colOff>
      <xdr:row>29</xdr:row>
      <xdr:rowOff>161925</xdr:rowOff>
    </xdr:to>
    <xdr:sp macro="" textlink="">
      <xdr:nvSpPr>
        <xdr:cNvPr id="45" name="Rectangle 44">
          <a:extLst>
            <a:ext uri="{FF2B5EF4-FFF2-40B4-BE49-F238E27FC236}">
              <a16:creationId xmlns:a16="http://schemas.microsoft.com/office/drawing/2014/main" id="{633C6E87-402D-B720-AADD-90B9D64AAC8B}"/>
            </a:ext>
          </a:extLst>
        </xdr:cNvPr>
        <xdr:cNvSpPr/>
      </xdr:nvSpPr>
      <xdr:spPr>
        <a:xfrm>
          <a:off x="7153275" y="4010025"/>
          <a:ext cx="5372100" cy="167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447675</xdr:colOff>
      <xdr:row>20</xdr:row>
      <xdr:rowOff>123825</xdr:rowOff>
    </xdr:from>
    <xdr:to>
      <xdr:col>20</xdr:col>
      <xdr:colOff>314325</xdr:colOff>
      <xdr:row>32</xdr:row>
      <xdr:rowOff>83344</xdr:rowOff>
    </xdr:to>
    <xdr:graphicFrame macro="">
      <xdr:nvGraphicFramePr>
        <xdr:cNvPr id="47" name="Chart 46">
          <a:extLst>
            <a:ext uri="{FF2B5EF4-FFF2-40B4-BE49-F238E27FC236}">
              <a16:creationId xmlns:a16="http://schemas.microsoft.com/office/drawing/2014/main" id="{2ACD589F-40A3-4471-A970-7B5E68436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596504</xdr:colOff>
      <xdr:row>20</xdr:row>
      <xdr:rowOff>161925</xdr:rowOff>
    </xdr:from>
    <xdr:to>
      <xdr:col>16</xdr:col>
      <xdr:colOff>127396</xdr:colOff>
      <xdr:row>22</xdr:row>
      <xdr:rowOff>9525</xdr:rowOff>
    </xdr:to>
    <xdr:sp macro="" textlink="">
      <xdr:nvSpPr>
        <xdr:cNvPr id="48" name="Rectangle 47">
          <a:extLst>
            <a:ext uri="{FF2B5EF4-FFF2-40B4-BE49-F238E27FC236}">
              <a16:creationId xmlns:a16="http://schemas.microsoft.com/office/drawing/2014/main" id="{2311146C-07C9-C8D0-14D8-41AE1B849B0A}"/>
            </a:ext>
          </a:extLst>
        </xdr:cNvPr>
        <xdr:cNvSpPr/>
      </xdr:nvSpPr>
      <xdr:spPr>
        <a:xfrm>
          <a:off x="8521304" y="3971925"/>
          <a:ext cx="1359692" cy="228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2"/>
              </a:solidFill>
            </a:rPr>
            <a:t>SALES BY MONTHS</a:t>
          </a:r>
        </a:p>
      </xdr:txBody>
    </xdr:sp>
    <xdr:clientData/>
  </xdr:twoCellAnchor>
  <xdr:twoCellAnchor>
    <xdr:from>
      <xdr:col>3</xdr:col>
      <xdr:colOff>235323</xdr:colOff>
      <xdr:row>18</xdr:row>
      <xdr:rowOff>11205</xdr:rowOff>
    </xdr:from>
    <xdr:to>
      <xdr:col>11</xdr:col>
      <xdr:colOff>358588</xdr:colOff>
      <xdr:row>32</xdr:row>
      <xdr:rowOff>130968</xdr:rowOff>
    </xdr:to>
    <xdr:graphicFrame macro="">
      <xdr:nvGraphicFramePr>
        <xdr:cNvPr id="49" name="Chart 48">
          <a:extLst>
            <a:ext uri="{FF2B5EF4-FFF2-40B4-BE49-F238E27FC236}">
              <a16:creationId xmlns:a16="http://schemas.microsoft.com/office/drawing/2014/main" id="{E602B469-55B5-4159-B9BC-3DF80E5A7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0.36343</cdr:x>
      <cdr:y>0.03483</cdr:y>
    </cdr:from>
    <cdr:to>
      <cdr:x>0.86456</cdr:x>
      <cdr:y>0.14925</cdr:y>
    </cdr:to>
    <cdr:sp macro="" textlink="">
      <cdr:nvSpPr>
        <cdr:cNvPr id="2" name="Rectangle 1">
          <a:extLst xmlns:a="http://schemas.openxmlformats.org/drawingml/2006/main">
            <a:ext uri="{FF2B5EF4-FFF2-40B4-BE49-F238E27FC236}">
              <a16:creationId xmlns:a16="http://schemas.microsoft.com/office/drawing/2014/main" id="{9EB4AB27-F8A6-AE90-3FD8-08D0DDB33ACA}"/>
            </a:ext>
          </a:extLst>
        </cdr:cNvPr>
        <cdr:cNvSpPr/>
      </cdr:nvSpPr>
      <cdr:spPr>
        <a:xfrm xmlns:a="http://schemas.openxmlformats.org/drawingml/2006/main">
          <a:off x="1804148" y="78441"/>
          <a:ext cx="2487705" cy="25773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200" b="1" kern="1200">
              <a:ln>
                <a:noFill/>
              </a:ln>
              <a:solidFill>
                <a:schemeClr val="accent2"/>
              </a:solidFill>
            </a:rPr>
            <a:t>SALES OF PRODUCTS</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523875</xdr:colOff>
      <xdr:row>50</xdr:row>
      <xdr:rowOff>38100</xdr:rowOff>
    </xdr:to>
    <xdr:sp macro="" textlink="">
      <xdr:nvSpPr>
        <xdr:cNvPr id="2" name="Rectangle: Rounded Corners 1">
          <a:extLst>
            <a:ext uri="{FF2B5EF4-FFF2-40B4-BE49-F238E27FC236}">
              <a16:creationId xmlns:a16="http://schemas.microsoft.com/office/drawing/2014/main" id="{BFE5CF14-E5CE-4EBC-B096-A7DBBE29B949}"/>
            </a:ext>
          </a:extLst>
        </xdr:cNvPr>
        <xdr:cNvSpPr/>
      </xdr:nvSpPr>
      <xdr:spPr>
        <a:xfrm>
          <a:off x="0" y="0"/>
          <a:ext cx="15763875" cy="9563100"/>
        </a:xfrm>
        <a:prstGeom prst="roundRect">
          <a:avLst>
            <a:gd name="adj" fmla="val 134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0</xdr:row>
      <xdr:rowOff>0</xdr:rowOff>
    </xdr:from>
    <xdr:to>
      <xdr:col>29</xdr:col>
      <xdr:colOff>76200</xdr:colOff>
      <xdr:row>50</xdr:row>
      <xdr:rowOff>38100</xdr:rowOff>
    </xdr:to>
    <xdr:sp macro="" textlink="">
      <xdr:nvSpPr>
        <xdr:cNvPr id="3" name="Rectangle: Rounded Corners 2">
          <a:extLst>
            <a:ext uri="{FF2B5EF4-FFF2-40B4-BE49-F238E27FC236}">
              <a16:creationId xmlns:a16="http://schemas.microsoft.com/office/drawing/2014/main" id="{59D2BF75-409D-4839-9D98-B854F9A250EC}"/>
            </a:ext>
          </a:extLst>
        </xdr:cNvPr>
        <xdr:cNvSpPr/>
      </xdr:nvSpPr>
      <xdr:spPr>
        <a:xfrm>
          <a:off x="1977278" y="0"/>
          <a:ext cx="15647334" cy="9563100"/>
        </a:xfrm>
        <a:prstGeom prst="roundRect">
          <a:avLst>
            <a:gd name="adj" fmla="val 134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a:t>
          </a:r>
        </a:p>
      </xdr:txBody>
    </xdr:sp>
    <xdr:clientData/>
  </xdr:twoCellAnchor>
  <xdr:twoCellAnchor>
    <xdr:from>
      <xdr:col>0</xdr:col>
      <xdr:colOff>85725</xdr:colOff>
      <xdr:row>7</xdr:row>
      <xdr:rowOff>19050</xdr:rowOff>
    </xdr:from>
    <xdr:to>
      <xdr:col>3</xdr:col>
      <xdr:colOff>95250</xdr:colOff>
      <xdr:row>9</xdr:row>
      <xdr:rowOff>152400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F1B6456-388B-4B8A-975F-EBCC76D1A188}"/>
            </a:ext>
          </a:extLst>
        </xdr:cNvPr>
        <xdr:cNvSpPr/>
      </xdr:nvSpPr>
      <xdr:spPr>
        <a:xfrm>
          <a:off x="85725" y="1352550"/>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DASHBOARD</a:t>
          </a:r>
        </a:p>
      </xdr:txBody>
    </xdr:sp>
    <xdr:clientData/>
  </xdr:twoCellAnchor>
  <xdr:twoCellAnchor>
    <xdr:from>
      <xdr:col>0</xdr:col>
      <xdr:colOff>66675</xdr:colOff>
      <xdr:row>10</xdr:row>
      <xdr:rowOff>180975</xdr:rowOff>
    </xdr:from>
    <xdr:to>
      <xdr:col>3</xdr:col>
      <xdr:colOff>76200</xdr:colOff>
      <xdr:row>13</xdr:row>
      <xdr:rowOff>123825</xdr:rowOff>
    </xdr:to>
    <xdr:sp macro="" textlink="">
      <xdr:nvSpPr>
        <xdr:cNvPr id="5" name="Rectangle: Rounded Corners 4">
          <a:extLst>
            <a:ext uri="{FF2B5EF4-FFF2-40B4-BE49-F238E27FC236}">
              <a16:creationId xmlns:a16="http://schemas.microsoft.com/office/drawing/2014/main" id="{ADF813E1-FF43-42A3-AD4E-90F562AE9786}"/>
            </a:ext>
          </a:extLst>
        </xdr:cNvPr>
        <xdr:cNvSpPr/>
      </xdr:nvSpPr>
      <xdr:spPr>
        <a:xfrm>
          <a:off x="66675" y="2085975"/>
          <a:ext cx="1838325" cy="514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PRODUCTS</a:t>
          </a:r>
        </a:p>
      </xdr:txBody>
    </xdr:sp>
    <xdr:clientData/>
  </xdr:twoCellAnchor>
  <xdr:twoCellAnchor>
    <xdr:from>
      <xdr:col>0</xdr:col>
      <xdr:colOff>76200</xdr:colOff>
      <xdr:row>14</xdr:row>
      <xdr:rowOff>180975</xdr:rowOff>
    </xdr:from>
    <xdr:to>
      <xdr:col>3</xdr:col>
      <xdr:colOff>85725</xdr:colOff>
      <xdr:row>17</xdr:row>
      <xdr:rowOff>123825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38439337-1213-4E6D-BCBA-CE81CDD68C44}"/>
            </a:ext>
          </a:extLst>
        </xdr:cNvPr>
        <xdr:cNvSpPr/>
      </xdr:nvSpPr>
      <xdr:spPr>
        <a:xfrm>
          <a:off x="76200" y="2847975"/>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SALESMANS</a:t>
          </a:r>
        </a:p>
      </xdr:txBody>
    </xdr:sp>
    <xdr:clientData/>
  </xdr:twoCellAnchor>
  <xdr:twoCellAnchor>
    <xdr:from>
      <xdr:col>0</xdr:col>
      <xdr:colOff>66675</xdr:colOff>
      <xdr:row>19</xdr:row>
      <xdr:rowOff>0</xdr:rowOff>
    </xdr:from>
    <xdr:to>
      <xdr:col>3</xdr:col>
      <xdr:colOff>76200</xdr:colOff>
      <xdr:row>21</xdr:row>
      <xdr:rowOff>133350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CAD23FC-9700-413E-A541-FAFBE3F0E28B}"/>
            </a:ext>
          </a:extLst>
        </xdr:cNvPr>
        <xdr:cNvSpPr/>
      </xdr:nvSpPr>
      <xdr:spPr>
        <a:xfrm>
          <a:off x="66675" y="3619500"/>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ABOUT</a:t>
          </a:r>
        </a:p>
      </xdr:txBody>
    </xdr:sp>
    <xdr:clientData/>
  </xdr:twoCellAnchor>
  <xdr:twoCellAnchor editAs="oneCell">
    <xdr:from>
      <xdr:col>3</xdr:col>
      <xdr:colOff>257175</xdr:colOff>
      <xdr:row>0</xdr:row>
      <xdr:rowOff>57147</xdr:rowOff>
    </xdr:from>
    <xdr:to>
      <xdr:col>12</xdr:col>
      <xdr:colOff>561975</xdr:colOff>
      <xdr:row>6</xdr:row>
      <xdr:rowOff>104774</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08633114-9F4D-40D8-986A-DE1631D0C23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2528" y="57147"/>
              <a:ext cx="5750859" cy="1190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0</xdr:row>
      <xdr:rowOff>58831</xdr:rowOff>
    </xdr:from>
    <xdr:to>
      <xdr:col>20</xdr:col>
      <xdr:colOff>285750</xdr:colOff>
      <xdr:row>6</xdr:row>
      <xdr:rowOff>135031</xdr:rowOff>
    </xdr:to>
    <mc:AlternateContent xmlns:mc="http://schemas.openxmlformats.org/markup-compatibility/2006" xmlns:a14="http://schemas.microsoft.com/office/drawing/2010/main">
      <mc:Choice Requires="a14">
        <xdr:graphicFrame macro="">
          <xdr:nvGraphicFramePr>
            <xdr:cNvPr id="9" name="Place 2">
              <a:extLst>
                <a:ext uri="{FF2B5EF4-FFF2-40B4-BE49-F238E27FC236}">
                  <a16:creationId xmlns:a16="http://schemas.microsoft.com/office/drawing/2014/main" id="{735B9C2D-65B3-4BB2-9872-DC489035B2A0}"/>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934325" y="58831"/>
              <a:ext cx="4543425"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238124</xdr:colOff>
      <xdr:row>6</xdr:row>
      <xdr:rowOff>161925</xdr:rowOff>
    </xdr:from>
    <xdr:to>
      <xdr:col>20</xdr:col>
      <xdr:colOff>276225</xdr:colOff>
      <xdr:row>10</xdr:row>
      <xdr:rowOff>171450</xdr:rowOff>
    </xdr:to>
    <mc:AlternateContent xmlns:mc="http://schemas.openxmlformats.org/markup-compatibility/2006" xmlns:a14="http://schemas.microsoft.com/office/drawing/2010/main">
      <mc:Choice Requires="a14">
        <xdr:graphicFrame macro="">
          <xdr:nvGraphicFramePr>
            <xdr:cNvPr id="10" name="Products 2">
              <a:extLst>
                <a:ext uri="{FF2B5EF4-FFF2-40B4-BE49-F238E27FC236}">
                  <a16:creationId xmlns:a16="http://schemas.microsoft.com/office/drawing/2014/main" id="{88C4BB35-4158-46A6-8BF1-750E2D72F820}"/>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053477" y="1304925"/>
              <a:ext cx="10325101"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11</xdr:row>
      <xdr:rowOff>66675</xdr:rowOff>
    </xdr:from>
    <xdr:to>
      <xdr:col>4</xdr:col>
      <xdr:colOff>152400</xdr:colOff>
      <xdr:row>14</xdr:row>
      <xdr:rowOff>95250</xdr:rowOff>
    </xdr:to>
    <xdr:pic>
      <xdr:nvPicPr>
        <xdr:cNvPr id="11" name="Graphic 10" descr="Bar graph with upward trend">
          <a:extLst>
            <a:ext uri="{FF2B5EF4-FFF2-40B4-BE49-F238E27FC236}">
              <a16:creationId xmlns:a16="http://schemas.microsoft.com/office/drawing/2014/main" id="{1DCF35DF-C8A8-45A9-8A66-C96D933F1C1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90725" y="2162175"/>
          <a:ext cx="600075" cy="600075"/>
        </a:xfrm>
        <a:prstGeom prst="rect">
          <a:avLst/>
        </a:prstGeom>
      </xdr:spPr>
    </xdr:pic>
    <xdr:clientData/>
  </xdr:twoCellAnchor>
  <xdr:twoCellAnchor>
    <xdr:from>
      <xdr:col>4</xdr:col>
      <xdr:colOff>66676</xdr:colOff>
      <xdr:row>11</xdr:row>
      <xdr:rowOff>104775</xdr:rowOff>
    </xdr:from>
    <xdr:to>
      <xdr:col>6</xdr:col>
      <xdr:colOff>114300</xdr:colOff>
      <xdr:row>13</xdr:row>
      <xdr:rowOff>142875</xdr:rowOff>
    </xdr:to>
    <xdr:sp macro="" textlink="">
      <xdr:nvSpPr>
        <xdr:cNvPr id="12" name="Rectangle: Rounded Corners 11">
          <a:extLst>
            <a:ext uri="{FF2B5EF4-FFF2-40B4-BE49-F238E27FC236}">
              <a16:creationId xmlns:a16="http://schemas.microsoft.com/office/drawing/2014/main" id="{B7CD0CBB-0A8E-450B-B42B-9E4B18774694}"/>
            </a:ext>
          </a:extLst>
        </xdr:cNvPr>
        <xdr:cNvSpPr/>
      </xdr:nvSpPr>
      <xdr:spPr>
        <a:xfrm>
          <a:off x="2505076" y="2200275"/>
          <a:ext cx="1266824"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lumMod val="75000"/>
                </a:schemeClr>
              </a:solidFill>
            </a:rPr>
            <a:t>Analytics</a:t>
          </a:r>
        </a:p>
      </xdr:txBody>
    </xdr:sp>
    <xdr:clientData/>
  </xdr:twoCellAnchor>
  <xdr:twoCellAnchor>
    <xdr:from>
      <xdr:col>3</xdr:col>
      <xdr:colOff>234763</xdr:colOff>
      <xdr:row>14</xdr:row>
      <xdr:rowOff>112059</xdr:rowOff>
    </xdr:from>
    <xdr:to>
      <xdr:col>11</xdr:col>
      <xdr:colOff>320488</xdr:colOff>
      <xdr:row>30</xdr:row>
      <xdr:rowOff>11207</xdr:rowOff>
    </xdr:to>
    <xdr:sp macro="" textlink="">
      <xdr:nvSpPr>
        <xdr:cNvPr id="15" name="Rectangle 14">
          <a:extLst>
            <a:ext uri="{FF2B5EF4-FFF2-40B4-BE49-F238E27FC236}">
              <a16:creationId xmlns:a16="http://schemas.microsoft.com/office/drawing/2014/main" id="{66128F53-D488-4112-A7D6-444E426ADC1A}"/>
            </a:ext>
          </a:extLst>
        </xdr:cNvPr>
        <xdr:cNvSpPr/>
      </xdr:nvSpPr>
      <xdr:spPr>
        <a:xfrm>
          <a:off x="2050116" y="2779059"/>
          <a:ext cx="4926666" cy="29471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12</xdr:col>
      <xdr:colOff>514350</xdr:colOff>
      <xdr:row>11</xdr:row>
      <xdr:rowOff>38100</xdr:rowOff>
    </xdr:from>
    <xdr:to>
      <xdr:col>15</xdr:col>
      <xdr:colOff>95250</xdr:colOff>
      <xdr:row>12</xdr:row>
      <xdr:rowOff>85725</xdr:rowOff>
    </xdr:to>
    <xdr:sp macro="" textlink="">
      <xdr:nvSpPr>
        <xdr:cNvPr id="20" name="Rectangle 19">
          <a:extLst>
            <a:ext uri="{FF2B5EF4-FFF2-40B4-BE49-F238E27FC236}">
              <a16:creationId xmlns:a16="http://schemas.microsoft.com/office/drawing/2014/main" id="{73C05706-46D8-4E36-AB29-3CEC9169B32B}"/>
            </a:ext>
          </a:extLst>
        </xdr:cNvPr>
        <xdr:cNvSpPr/>
      </xdr:nvSpPr>
      <xdr:spPr>
        <a:xfrm>
          <a:off x="7829550" y="2133600"/>
          <a:ext cx="1409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11</xdr:col>
      <xdr:colOff>447675</xdr:colOff>
      <xdr:row>11</xdr:row>
      <xdr:rowOff>100853</xdr:rowOff>
    </xdr:from>
    <xdr:to>
      <xdr:col>20</xdr:col>
      <xdr:colOff>333375</xdr:colOff>
      <xdr:row>21</xdr:row>
      <xdr:rowOff>173131</xdr:rowOff>
    </xdr:to>
    <xdr:sp macro="" textlink="">
      <xdr:nvSpPr>
        <xdr:cNvPr id="26" name="Rectangle 25">
          <a:extLst>
            <a:ext uri="{FF2B5EF4-FFF2-40B4-BE49-F238E27FC236}">
              <a16:creationId xmlns:a16="http://schemas.microsoft.com/office/drawing/2014/main" id="{B5856723-219B-4645-9C87-195BF7EB343C}"/>
            </a:ext>
          </a:extLst>
        </xdr:cNvPr>
        <xdr:cNvSpPr/>
      </xdr:nvSpPr>
      <xdr:spPr>
        <a:xfrm>
          <a:off x="7103969" y="2196353"/>
          <a:ext cx="5331759" cy="19772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447676</xdr:colOff>
      <xdr:row>22</xdr:row>
      <xdr:rowOff>54348</xdr:rowOff>
    </xdr:from>
    <xdr:to>
      <xdr:col>20</xdr:col>
      <xdr:colOff>333376</xdr:colOff>
      <xdr:row>30</xdr:row>
      <xdr:rowOff>22412</xdr:rowOff>
    </xdr:to>
    <xdr:sp macro="" textlink="">
      <xdr:nvSpPr>
        <xdr:cNvPr id="29" name="Rectangle 28">
          <a:extLst>
            <a:ext uri="{FF2B5EF4-FFF2-40B4-BE49-F238E27FC236}">
              <a16:creationId xmlns:a16="http://schemas.microsoft.com/office/drawing/2014/main" id="{BEBF0770-CC23-4175-B995-01674C5631EF}"/>
            </a:ext>
          </a:extLst>
        </xdr:cNvPr>
        <xdr:cNvSpPr/>
      </xdr:nvSpPr>
      <xdr:spPr>
        <a:xfrm>
          <a:off x="7103970" y="4245348"/>
          <a:ext cx="5331759" cy="14920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470646</xdr:colOff>
      <xdr:row>22</xdr:row>
      <xdr:rowOff>67235</xdr:rowOff>
    </xdr:from>
    <xdr:to>
      <xdr:col>19</xdr:col>
      <xdr:colOff>268940</xdr:colOff>
      <xdr:row>23</xdr:row>
      <xdr:rowOff>179294</xdr:rowOff>
    </xdr:to>
    <xdr:sp macro="" textlink="">
      <xdr:nvSpPr>
        <xdr:cNvPr id="22" name="Rectangle 21">
          <a:extLst>
            <a:ext uri="{FF2B5EF4-FFF2-40B4-BE49-F238E27FC236}">
              <a16:creationId xmlns:a16="http://schemas.microsoft.com/office/drawing/2014/main" id="{7F4A6F11-0976-4063-B15C-3B777D62C6C3}"/>
            </a:ext>
          </a:extLst>
        </xdr:cNvPr>
        <xdr:cNvSpPr/>
      </xdr:nvSpPr>
      <xdr:spPr>
        <a:xfrm>
          <a:off x="7732058" y="4258235"/>
          <a:ext cx="4034117" cy="3025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2"/>
              </a:solidFill>
            </a:rPr>
            <a:t>BOTTOM</a:t>
          </a:r>
          <a:r>
            <a:rPr lang="en-IN" sz="1200" b="1" baseline="0">
              <a:ln>
                <a:noFill/>
              </a:ln>
              <a:solidFill>
                <a:schemeClr val="accent2"/>
              </a:solidFill>
            </a:rPr>
            <a:t> 3 Selling Products</a:t>
          </a:r>
          <a:endParaRPr lang="en-IN" sz="1200" b="1">
            <a:ln>
              <a:noFill/>
            </a:ln>
            <a:solidFill>
              <a:schemeClr val="accent2"/>
            </a:solidFill>
          </a:endParaRPr>
        </a:p>
      </xdr:txBody>
    </xdr:sp>
    <xdr:clientData/>
  </xdr:twoCellAnchor>
  <xdr:twoCellAnchor>
    <xdr:from>
      <xdr:col>11</xdr:col>
      <xdr:colOff>447675</xdr:colOff>
      <xdr:row>22</xdr:row>
      <xdr:rowOff>54348</xdr:rowOff>
    </xdr:from>
    <xdr:to>
      <xdr:col>20</xdr:col>
      <xdr:colOff>347381</xdr:colOff>
      <xdr:row>30</xdr:row>
      <xdr:rowOff>11206</xdr:rowOff>
    </xdr:to>
    <xdr:graphicFrame macro="">
      <xdr:nvGraphicFramePr>
        <xdr:cNvPr id="13" name="Chart 12">
          <a:extLst>
            <a:ext uri="{FF2B5EF4-FFF2-40B4-BE49-F238E27FC236}">
              <a16:creationId xmlns:a16="http://schemas.microsoft.com/office/drawing/2014/main" id="{B8437660-2E4D-41A7-81D0-D72481462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448236</xdr:colOff>
      <xdr:row>11</xdr:row>
      <xdr:rowOff>89648</xdr:rowOff>
    </xdr:from>
    <xdr:to>
      <xdr:col>20</xdr:col>
      <xdr:colOff>324971</xdr:colOff>
      <xdr:row>21</xdr:row>
      <xdr:rowOff>156882</xdr:rowOff>
    </xdr:to>
    <xdr:graphicFrame macro="">
      <xdr:nvGraphicFramePr>
        <xdr:cNvPr id="14" name="Chart 13">
          <a:extLst>
            <a:ext uri="{FF2B5EF4-FFF2-40B4-BE49-F238E27FC236}">
              <a16:creationId xmlns:a16="http://schemas.microsoft.com/office/drawing/2014/main" id="{97419BCA-458C-43F5-B670-58C7F8161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313765</xdr:colOff>
      <xdr:row>11</xdr:row>
      <xdr:rowOff>134471</xdr:rowOff>
    </xdr:from>
    <xdr:to>
      <xdr:col>20</xdr:col>
      <xdr:colOff>235323</xdr:colOff>
      <xdr:row>13</xdr:row>
      <xdr:rowOff>44824</xdr:rowOff>
    </xdr:to>
    <xdr:sp macro="" textlink="">
      <xdr:nvSpPr>
        <xdr:cNvPr id="28" name="Rectangle 27">
          <a:extLst>
            <a:ext uri="{FF2B5EF4-FFF2-40B4-BE49-F238E27FC236}">
              <a16:creationId xmlns:a16="http://schemas.microsoft.com/office/drawing/2014/main" id="{E03E8322-5896-49BF-BDED-E20CA0C6ED3F}"/>
            </a:ext>
          </a:extLst>
        </xdr:cNvPr>
        <xdr:cNvSpPr/>
      </xdr:nvSpPr>
      <xdr:spPr>
        <a:xfrm>
          <a:off x="8785412" y="2229971"/>
          <a:ext cx="3552264" cy="2913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2"/>
              </a:solidFill>
            </a:rPr>
            <a:t>TOP</a:t>
          </a:r>
          <a:r>
            <a:rPr lang="en-IN" sz="1200" b="1" baseline="0">
              <a:solidFill>
                <a:schemeClr val="accent2"/>
              </a:solidFill>
            </a:rPr>
            <a:t> 3 Selling Products</a:t>
          </a:r>
          <a:endParaRPr lang="en-IN" sz="1200" b="1">
            <a:solidFill>
              <a:schemeClr val="accent2"/>
            </a:solidFill>
          </a:endParaRPr>
        </a:p>
      </xdr:txBody>
    </xdr:sp>
    <xdr:clientData/>
  </xdr:twoCellAnchor>
  <xdr:twoCellAnchor>
    <xdr:from>
      <xdr:col>3</xdr:col>
      <xdr:colOff>234763</xdr:colOff>
      <xdr:row>14</xdr:row>
      <xdr:rowOff>100854</xdr:rowOff>
    </xdr:from>
    <xdr:to>
      <xdr:col>11</xdr:col>
      <xdr:colOff>347382</xdr:colOff>
      <xdr:row>30</xdr:row>
      <xdr:rowOff>0</xdr:rowOff>
    </xdr:to>
    <xdr:graphicFrame macro="">
      <xdr:nvGraphicFramePr>
        <xdr:cNvPr id="16" name="Chart 15">
          <a:extLst>
            <a:ext uri="{FF2B5EF4-FFF2-40B4-BE49-F238E27FC236}">
              <a16:creationId xmlns:a16="http://schemas.microsoft.com/office/drawing/2014/main" id="{29370656-F420-40FD-A59B-D8AD55912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134468</xdr:colOff>
      <xdr:row>14</xdr:row>
      <xdr:rowOff>145677</xdr:rowOff>
    </xdr:from>
    <xdr:to>
      <xdr:col>10</xdr:col>
      <xdr:colOff>605116</xdr:colOff>
      <xdr:row>16</xdr:row>
      <xdr:rowOff>100853</xdr:rowOff>
    </xdr:to>
    <xdr:sp macro="" textlink="">
      <xdr:nvSpPr>
        <xdr:cNvPr id="30" name="Rectangle 29">
          <a:extLst>
            <a:ext uri="{FF2B5EF4-FFF2-40B4-BE49-F238E27FC236}">
              <a16:creationId xmlns:a16="http://schemas.microsoft.com/office/drawing/2014/main" id="{E3F80EB5-591A-0FB9-AC5E-319FEA35081F}"/>
            </a:ext>
          </a:extLst>
        </xdr:cNvPr>
        <xdr:cNvSpPr/>
      </xdr:nvSpPr>
      <xdr:spPr>
        <a:xfrm>
          <a:off x="2554939" y="2812677"/>
          <a:ext cx="4101353" cy="3361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2"/>
              </a:solidFill>
            </a:rPr>
            <a:t>Sales</a:t>
          </a:r>
          <a:r>
            <a:rPr lang="en-IN" sz="1200" b="1" baseline="0">
              <a:ln>
                <a:noFill/>
              </a:ln>
              <a:solidFill>
                <a:schemeClr val="accent2"/>
              </a:solidFill>
            </a:rPr>
            <a:t> of Product by Qty </a:t>
          </a:r>
          <a:endParaRPr lang="en-IN" sz="1200" b="1">
            <a:ln>
              <a:noFill/>
            </a:ln>
            <a:solidFill>
              <a:schemeClr val="accent2"/>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0.17199</cdr:x>
      <cdr:y>0</cdr:y>
    </cdr:from>
    <cdr:to>
      <cdr:x>0.74636</cdr:x>
      <cdr:y>0.19286</cdr:y>
    </cdr:to>
    <cdr:sp macro="" textlink="">
      <cdr:nvSpPr>
        <cdr:cNvPr id="2" name="Rectangle 1">
          <a:extLst xmlns:a="http://schemas.openxmlformats.org/drawingml/2006/main">
            <a:ext uri="{FF2B5EF4-FFF2-40B4-BE49-F238E27FC236}">
              <a16:creationId xmlns:a16="http://schemas.microsoft.com/office/drawing/2014/main" id="{1F891EF1-3CCC-0102-9BCF-4D77500F323E}"/>
            </a:ext>
          </a:extLst>
        </cdr:cNvPr>
        <cdr:cNvSpPr/>
      </cdr:nvSpPr>
      <cdr:spPr>
        <a:xfrm xmlns:a="http://schemas.openxmlformats.org/drawingml/2006/main">
          <a:off x="919443" y="0"/>
          <a:ext cx="3070412" cy="3266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b="1" kern="1200">
              <a:solidFill>
                <a:schemeClr val="accent2"/>
              </a:solidFill>
            </a:rPr>
            <a:t>BOTTOM 3 Selling</a:t>
          </a:r>
          <a:r>
            <a:rPr lang="en-IN" b="1" kern="1200" baseline="0">
              <a:solidFill>
                <a:schemeClr val="accent2"/>
              </a:solidFill>
            </a:rPr>
            <a:t> Products</a:t>
          </a:r>
          <a:endParaRPr lang="en-IN" b="1" kern="1200">
            <a:solidFill>
              <a:schemeClr val="accent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523875</xdr:colOff>
      <xdr:row>50</xdr:row>
      <xdr:rowOff>38100</xdr:rowOff>
    </xdr:to>
    <xdr:sp macro="" textlink="">
      <xdr:nvSpPr>
        <xdr:cNvPr id="2" name="Rectangle: Rounded Corners 1">
          <a:extLst>
            <a:ext uri="{FF2B5EF4-FFF2-40B4-BE49-F238E27FC236}">
              <a16:creationId xmlns:a16="http://schemas.microsoft.com/office/drawing/2014/main" id="{4626B73B-74BF-4394-BD5B-CEFC354A433E}"/>
            </a:ext>
          </a:extLst>
        </xdr:cNvPr>
        <xdr:cNvSpPr/>
      </xdr:nvSpPr>
      <xdr:spPr>
        <a:xfrm>
          <a:off x="0" y="0"/>
          <a:ext cx="15763875" cy="9563100"/>
        </a:xfrm>
        <a:prstGeom prst="roundRect">
          <a:avLst>
            <a:gd name="adj" fmla="val 134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0</xdr:row>
      <xdr:rowOff>0</xdr:rowOff>
    </xdr:from>
    <xdr:to>
      <xdr:col>29</xdr:col>
      <xdr:colOff>76200</xdr:colOff>
      <xdr:row>50</xdr:row>
      <xdr:rowOff>38100</xdr:rowOff>
    </xdr:to>
    <xdr:sp macro="" textlink="">
      <xdr:nvSpPr>
        <xdr:cNvPr id="3" name="Rectangle: Rounded Corners 2">
          <a:extLst>
            <a:ext uri="{FF2B5EF4-FFF2-40B4-BE49-F238E27FC236}">
              <a16:creationId xmlns:a16="http://schemas.microsoft.com/office/drawing/2014/main" id="{AEB4D9D8-148E-43FE-910F-35EDA0B6FB56}"/>
            </a:ext>
          </a:extLst>
        </xdr:cNvPr>
        <xdr:cNvSpPr/>
      </xdr:nvSpPr>
      <xdr:spPr>
        <a:xfrm>
          <a:off x="1990725" y="0"/>
          <a:ext cx="15763875" cy="9563100"/>
        </a:xfrm>
        <a:prstGeom prst="roundRect">
          <a:avLst>
            <a:gd name="adj" fmla="val 134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a:t>
          </a:r>
        </a:p>
      </xdr:txBody>
    </xdr:sp>
    <xdr:clientData/>
  </xdr:twoCellAnchor>
  <xdr:twoCellAnchor>
    <xdr:from>
      <xdr:col>0</xdr:col>
      <xdr:colOff>85725</xdr:colOff>
      <xdr:row>7</xdr:row>
      <xdr:rowOff>19050</xdr:rowOff>
    </xdr:from>
    <xdr:to>
      <xdr:col>3</xdr:col>
      <xdr:colOff>95250</xdr:colOff>
      <xdr:row>9</xdr:row>
      <xdr:rowOff>152400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4F618D1-65BB-40D5-A517-A4736FFB4C77}"/>
            </a:ext>
          </a:extLst>
        </xdr:cNvPr>
        <xdr:cNvSpPr/>
      </xdr:nvSpPr>
      <xdr:spPr>
        <a:xfrm>
          <a:off x="85725" y="1352550"/>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DASHBOARD</a:t>
          </a:r>
        </a:p>
      </xdr:txBody>
    </xdr:sp>
    <xdr:clientData/>
  </xdr:twoCellAnchor>
  <xdr:twoCellAnchor>
    <xdr:from>
      <xdr:col>0</xdr:col>
      <xdr:colOff>66675</xdr:colOff>
      <xdr:row>10</xdr:row>
      <xdr:rowOff>180975</xdr:rowOff>
    </xdr:from>
    <xdr:to>
      <xdr:col>3</xdr:col>
      <xdr:colOff>76200</xdr:colOff>
      <xdr:row>13</xdr:row>
      <xdr:rowOff>123825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303F545-BD64-4ADE-93D1-A12CE8C1268F}"/>
            </a:ext>
          </a:extLst>
        </xdr:cNvPr>
        <xdr:cNvSpPr/>
      </xdr:nvSpPr>
      <xdr:spPr>
        <a:xfrm>
          <a:off x="66675" y="2085975"/>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PRODUCTS</a:t>
          </a:r>
        </a:p>
      </xdr:txBody>
    </xdr:sp>
    <xdr:clientData/>
  </xdr:twoCellAnchor>
  <xdr:twoCellAnchor>
    <xdr:from>
      <xdr:col>0</xdr:col>
      <xdr:colOff>76200</xdr:colOff>
      <xdr:row>14</xdr:row>
      <xdr:rowOff>180975</xdr:rowOff>
    </xdr:from>
    <xdr:to>
      <xdr:col>3</xdr:col>
      <xdr:colOff>85725</xdr:colOff>
      <xdr:row>17</xdr:row>
      <xdr:rowOff>123825</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B2F63AC9-9F69-4040-AD5D-94C67F059A33}"/>
            </a:ext>
          </a:extLst>
        </xdr:cNvPr>
        <xdr:cNvSpPr/>
      </xdr:nvSpPr>
      <xdr:spPr>
        <a:xfrm>
          <a:off x="76200" y="2847975"/>
          <a:ext cx="1838325" cy="5143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SALES MANS</a:t>
          </a:r>
        </a:p>
      </xdr:txBody>
    </xdr:sp>
    <xdr:clientData/>
  </xdr:twoCellAnchor>
  <xdr:twoCellAnchor>
    <xdr:from>
      <xdr:col>0</xdr:col>
      <xdr:colOff>66675</xdr:colOff>
      <xdr:row>19</xdr:row>
      <xdr:rowOff>0</xdr:rowOff>
    </xdr:from>
    <xdr:to>
      <xdr:col>3</xdr:col>
      <xdr:colOff>76200</xdr:colOff>
      <xdr:row>21</xdr:row>
      <xdr:rowOff>133350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898940E-824E-4886-BABF-93E116EC8290}"/>
            </a:ext>
          </a:extLst>
        </xdr:cNvPr>
        <xdr:cNvSpPr/>
      </xdr:nvSpPr>
      <xdr:spPr>
        <a:xfrm>
          <a:off x="66675" y="3619500"/>
          <a:ext cx="18383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ABOUT</a:t>
          </a:r>
        </a:p>
      </xdr:txBody>
    </xdr:sp>
    <xdr:clientData/>
  </xdr:twoCellAnchor>
  <xdr:twoCellAnchor editAs="oneCell">
    <xdr:from>
      <xdr:col>3</xdr:col>
      <xdr:colOff>257175</xdr:colOff>
      <xdr:row>0</xdr:row>
      <xdr:rowOff>57147</xdr:rowOff>
    </xdr:from>
    <xdr:to>
      <xdr:col>12</xdr:col>
      <xdr:colOff>561975</xdr:colOff>
      <xdr:row>6</xdr:row>
      <xdr:rowOff>104774</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4982F1B8-B80A-4CFC-83CF-327CDCF9B412}"/>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2528" y="57147"/>
              <a:ext cx="5750859" cy="1190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0</xdr:row>
      <xdr:rowOff>47625</xdr:rowOff>
    </xdr:from>
    <xdr:to>
      <xdr:col>20</xdr:col>
      <xdr:colOff>285750</xdr:colOff>
      <xdr:row>6</xdr:row>
      <xdr:rowOff>123825</xdr:rowOff>
    </xdr:to>
    <mc:AlternateContent xmlns:mc="http://schemas.openxmlformats.org/markup-compatibility/2006" xmlns:a14="http://schemas.microsoft.com/office/drawing/2010/main">
      <mc:Choice Requires="a14">
        <xdr:graphicFrame macro="">
          <xdr:nvGraphicFramePr>
            <xdr:cNvPr id="9" name="Place 3">
              <a:extLst>
                <a:ext uri="{FF2B5EF4-FFF2-40B4-BE49-F238E27FC236}">
                  <a16:creationId xmlns:a16="http://schemas.microsoft.com/office/drawing/2014/main" id="{75F509AF-3128-478E-AA67-09BD3C974A61}"/>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876054" y="47625"/>
              <a:ext cx="4512049"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238124</xdr:colOff>
      <xdr:row>6</xdr:row>
      <xdr:rowOff>161925</xdr:rowOff>
    </xdr:from>
    <xdr:to>
      <xdr:col>20</xdr:col>
      <xdr:colOff>276225</xdr:colOff>
      <xdr:row>10</xdr:row>
      <xdr:rowOff>171450</xdr:rowOff>
    </xdr:to>
    <mc:AlternateContent xmlns:mc="http://schemas.openxmlformats.org/markup-compatibility/2006" xmlns:a14="http://schemas.microsoft.com/office/drawing/2010/main">
      <mc:Choice Requires="a14">
        <xdr:graphicFrame macro="">
          <xdr:nvGraphicFramePr>
            <xdr:cNvPr id="10" name="Products 3">
              <a:extLst>
                <a:ext uri="{FF2B5EF4-FFF2-40B4-BE49-F238E27FC236}">
                  <a16:creationId xmlns:a16="http://schemas.microsoft.com/office/drawing/2014/main" id="{2EB16A54-199A-4909-9F2E-F695EDF574AA}"/>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053477" y="1304925"/>
              <a:ext cx="10325101"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11</xdr:row>
      <xdr:rowOff>66675</xdr:rowOff>
    </xdr:from>
    <xdr:to>
      <xdr:col>4</xdr:col>
      <xdr:colOff>152400</xdr:colOff>
      <xdr:row>14</xdr:row>
      <xdr:rowOff>95250</xdr:rowOff>
    </xdr:to>
    <xdr:pic>
      <xdr:nvPicPr>
        <xdr:cNvPr id="11" name="Graphic 10" descr="Bar graph with upward trend">
          <a:extLst>
            <a:ext uri="{FF2B5EF4-FFF2-40B4-BE49-F238E27FC236}">
              <a16:creationId xmlns:a16="http://schemas.microsoft.com/office/drawing/2014/main" id="{5793D256-1FB2-439F-A177-06F84D7A582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90725" y="2162175"/>
          <a:ext cx="600075" cy="600075"/>
        </a:xfrm>
        <a:prstGeom prst="rect">
          <a:avLst/>
        </a:prstGeom>
      </xdr:spPr>
    </xdr:pic>
    <xdr:clientData/>
  </xdr:twoCellAnchor>
  <xdr:twoCellAnchor>
    <xdr:from>
      <xdr:col>4</xdr:col>
      <xdr:colOff>66676</xdr:colOff>
      <xdr:row>11</xdr:row>
      <xdr:rowOff>104775</xdr:rowOff>
    </xdr:from>
    <xdr:to>
      <xdr:col>6</xdr:col>
      <xdr:colOff>114300</xdr:colOff>
      <xdr:row>13</xdr:row>
      <xdr:rowOff>142875</xdr:rowOff>
    </xdr:to>
    <xdr:sp macro="" textlink="">
      <xdr:nvSpPr>
        <xdr:cNvPr id="12" name="Rectangle: Rounded Corners 11">
          <a:extLst>
            <a:ext uri="{FF2B5EF4-FFF2-40B4-BE49-F238E27FC236}">
              <a16:creationId xmlns:a16="http://schemas.microsoft.com/office/drawing/2014/main" id="{A4CE8628-2F33-4A0B-8394-75B0EAB415AA}"/>
            </a:ext>
          </a:extLst>
        </xdr:cNvPr>
        <xdr:cNvSpPr/>
      </xdr:nvSpPr>
      <xdr:spPr>
        <a:xfrm>
          <a:off x="2505076" y="2200275"/>
          <a:ext cx="1266824"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lumMod val="75000"/>
                </a:schemeClr>
              </a:solidFill>
            </a:rPr>
            <a:t>Analytics</a:t>
          </a:r>
        </a:p>
      </xdr:txBody>
    </xdr:sp>
    <xdr:clientData/>
  </xdr:twoCellAnchor>
  <xdr:twoCellAnchor>
    <xdr:from>
      <xdr:col>3</xdr:col>
      <xdr:colOff>234763</xdr:colOff>
      <xdr:row>14</xdr:row>
      <xdr:rowOff>112058</xdr:rowOff>
    </xdr:from>
    <xdr:to>
      <xdr:col>11</xdr:col>
      <xdr:colOff>320488</xdr:colOff>
      <xdr:row>30</xdr:row>
      <xdr:rowOff>179293</xdr:rowOff>
    </xdr:to>
    <xdr:sp macro="" textlink="">
      <xdr:nvSpPr>
        <xdr:cNvPr id="13" name="Rectangle 12">
          <a:extLst>
            <a:ext uri="{FF2B5EF4-FFF2-40B4-BE49-F238E27FC236}">
              <a16:creationId xmlns:a16="http://schemas.microsoft.com/office/drawing/2014/main" id="{1FACF459-86AE-4D78-B2DF-A94D04E82DB3}"/>
            </a:ext>
          </a:extLst>
        </xdr:cNvPr>
        <xdr:cNvSpPr/>
      </xdr:nvSpPr>
      <xdr:spPr>
        <a:xfrm>
          <a:off x="2063563" y="2779058"/>
          <a:ext cx="4962525" cy="3115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12</xdr:col>
      <xdr:colOff>514350</xdr:colOff>
      <xdr:row>11</xdr:row>
      <xdr:rowOff>38100</xdr:rowOff>
    </xdr:from>
    <xdr:to>
      <xdr:col>15</xdr:col>
      <xdr:colOff>95250</xdr:colOff>
      <xdr:row>12</xdr:row>
      <xdr:rowOff>85725</xdr:rowOff>
    </xdr:to>
    <xdr:sp macro="" textlink="">
      <xdr:nvSpPr>
        <xdr:cNvPr id="14" name="Rectangle 13">
          <a:extLst>
            <a:ext uri="{FF2B5EF4-FFF2-40B4-BE49-F238E27FC236}">
              <a16:creationId xmlns:a16="http://schemas.microsoft.com/office/drawing/2014/main" id="{0D8A917D-3A72-4946-8BA4-BE0AB6613A6D}"/>
            </a:ext>
          </a:extLst>
        </xdr:cNvPr>
        <xdr:cNvSpPr/>
      </xdr:nvSpPr>
      <xdr:spPr>
        <a:xfrm>
          <a:off x="7829550" y="2133600"/>
          <a:ext cx="1409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11</xdr:col>
      <xdr:colOff>436469</xdr:colOff>
      <xdr:row>11</xdr:row>
      <xdr:rowOff>67236</xdr:rowOff>
    </xdr:from>
    <xdr:to>
      <xdr:col>20</xdr:col>
      <xdr:colOff>322169</xdr:colOff>
      <xdr:row>21</xdr:row>
      <xdr:rowOff>139514</xdr:rowOff>
    </xdr:to>
    <xdr:sp macro="" textlink="">
      <xdr:nvSpPr>
        <xdr:cNvPr id="15" name="Rectangle 14">
          <a:extLst>
            <a:ext uri="{FF2B5EF4-FFF2-40B4-BE49-F238E27FC236}">
              <a16:creationId xmlns:a16="http://schemas.microsoft.com/office/drawing/2014/main" id="{9FCAB355-4E18-4310-A1A8-F960AF994CBE}"/>
            </a:ext>
          </a:extLst>
        </xdr:cNvPr>
        <xdr:cNvSpPr/>
      </xdr:nvSpPr>
      <xdr:spPr>
        <a:xfrm>
          <a:off x="7092763" y="2162736"/>
          <a:ext cx="5331759" cy="19772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447676</xdr:colOff>
      <xdr:row>22</xdr:row>
      <xdr:rowOff>54348</xdr:rowOff>
    </xdr:from>
    <xdr:to>
      <xdr:col>20</xdr:col>
      <xdr:colOff>333376</xdr:colOff>
      <xdr:row>31</xdr:row>
      <xdr:rowOff>16248</xdr:rowOff>
    </xdr:to>
    <xdr:sp macro="" textlink="">
      <xdr:nvSpPr>
        <xdr:cNvPr id="16" name="Rectangle 15">
          <a:extLst>
            <a:ext uri="{FF2B5EF4-FFF2-40B4-BE49-F238E27FC236}">
              <a16:creationId xmlns:a16="http://schemas.microsoft.com/office/drawing/2014/main" id="{DF4438A1-06DF-4BA3-9CA2-FAF176467F6B}"/>
            </a:ext>
          </a:extLst>
        </xdr:cNvPr>
        <xdr:cNvSpPr/>
      </xdr:nvSpPr>
      <xdr:spPr>
        <a:xfrm>
          <a:off x="7153276" y="4245348"/>
          <a:ext cx="5372100" cy="167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425824</xdr:colOff>
      <xdr:row>11</xdr:row>
      <xdr:rowOff>56029</xdr:rowOff>
    </xdr:from>
    <xdr:to>
      <xdr:col>20</xdr:col>
      <xdr:colOff>324971</xdr:colOff>
      <xdr:row>21</xdr:row>
      <xdr:rowOff>145676</xdr:rowOff>
    </xdr:to>
    <xdr:graphicFrame macro="">
      <xdr:nvGraphicFramePr>
        <xdr:cNvPr id="23" name="Chart 22">
          <a:extLst>
            <a:ext uri="{FF2B5EF4-FFF2-40B4-BE49-F238E27FC236}">
              <a16:creationId xmlns:a16="http://schemas.microsoft.com/office/drawing/2014/main" id="{AAE55E92-1E1F-4A9C-B6ED-ADE2E6EF7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537883</xdr:colOff>
      <xdr:row>11</xdr:row>
      <xdr:rowOff>145677</xdr:rowOff>
    </xdr:from>
    <xdr:to>
      <xdr:col>18</xdr:col>
      <xdr:colOff>145676</xdr:colOff>
      <xdr:row>13</xdr:row>
      <xdr:rowOff>33619</xdr:rowOff>
    </xdr:to>
    <xdr:sp macro="" textlink="">
      <xdr:nvSpPr>
        <xdr:cNvPr id="20" name="Rectangle 19">
          <a:extLst>
            <a:ext uri="{FF2B5EF4-FFF2-40B4-BE49-F238E27FC236}">
              <a16:creationId xmlns:a16="http://schemas.microsoft.com/office/drawing/2014/main" id="{32F90063-5C5E-4ABF-B60B-A4A2885FF9EF}"/>
            </a:ext>
          </a:extLst>
        </xdr:cNvPr>
        <xdr:cNvSpPr/>
      </xdr:nvSpPr>
      <xdr:spPr>
        <a:xfrm>
          <a:off x="8404412" y="2241177"/>
          <a:ext cx="2633382" cy="2689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2"/>
              </a:solidFill>
            </a:rPr>
            <a:t>TOP</a:t>
          </a:r>
          <a:r>
            <a:rPr lang="en-IN" sz="1200" b="1" baseline="0">
              <a:solidFill>
                <a:schemeClr val="accent2"/>
              </a:solidFill>
            </a:rPr>
            <a:t> 3 Sales Mans</a:t>
          </a:r>
          <a:endParaRPr lang="en-IN" sz="1200" b="1">
            <a:solidFill>
              <a:schemeClr val="accent2"/>
            </a:solidFill>
          </a:endParaRPr>
        </a:p>
      </xdr:txBody>
    </xdr:sp>
    <xdr:clientData/>
  </xdr:twoCellAnchor>
  <xdr:twoCellAnchor>
    <xdr:from>
      <xdr:col>11</xdr:col>
      <xdr:colOff>440953</xdr:colOff>
      <xdr:row>22</xdr:row>
      <xdr:rowOff>43143</xdr:rowOff>
    </xdr:from>
    <xdr:to>
      <xdr:col>20</xdr:col>
      <xdr:colOff>336176</xdr:colOff>
      <xdr:row>31</xdr:row>
      <xdr:rowOff>11206</xdr:rowOff>
    </xdr:to>
    <xdr:graphicFrame macro="">
      <xdr:nvGraphicFramePr>
        <xdr:cNvPr id="24" name="Chart 23">
          <a:extLst>
            <a:ext uri="{FF2B5EF4-FFF2-40B4-BE49-F238E27FC236}">
              <a16:creationId xmlns:a16="http://schemas.microsoft.com/office/drawing/2014/main" id="{1B7E869B-E6F9-4C41-88B2-59E48AFB6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582706</xdr:colOff>
      <xdr:row>22</xdr:row>
      <xdr:rowOff>22412</xdr:rowOff>
    </xdr:from>
    <xdr:to>
      <xdr:col>18</xdr:col>
      <xdr:colOff>212911</xdr:colOff>
      <xdr:row>23</xdr:row>
      <xdr:rowOff>134472</xdr:rowOff>
    </xdr:to>
    <xdr:sp macro="" textlink="">
      <xdr:nvSpPr>
        <xdr:cNvPr id="17" name="Rectangle 16">
          <a:extLst>
            <a:ext uri="{FF2B5EF4-FFF2-40B4-BE49-F238E27FC236}">
              <a16:creationId xmlns:a16="http://schemas.microsoft.com/office/drawing/2014/main" id="{B37CCC04-582B-4FC1-A3A9-8CFB46ADC190}"/>
            </a:ext>
          </a:extLst>
        </xdr:cNvPr>
        <xdr:cNvSpPr/>
      </xdr:nvSpPr>
      <xdr:spPr>
        <a:xfrm>
          <a:off x="9054353" y="4213412"/>
          <a:ext cx="2050676" cy="302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ln>
                <a:noFill/>
              </a:ln>
              <a:solidFill>
                <a:schemeClr val="accent2"/>
              </a:solidFill>
            </a:rPr>
            <a:t>BOTTOM</a:t>
          </a:r>
          <a:r>
            <a:rPr lang="en-IN" sz="1200" b="1" baseline="0">
              <a:ln>
                <a:noFill/>
              </a:ln>
              <a:solidFill>
                <a:schemeClr val="accent2"/>
              </a:solidFill>
            </a:rPr>
            <a:t> 3 Sales man</a:t>
          </a:r>
          <a:endParaRPr lang="en-IN" sz="1200" b="1">
            <a:ln>
              <a:noFill/>
            </a:ln>
            <a:solidFill>
              <a:schemeClr val="accent2"/>
            </a:solidFill>
          </a:endParaRPr>
        </a:p>
      </xdr:txBody>
    </xdr:sp>
    <xdr:clientData/>
  </xdr:twoCellAnchor>
  <xdr:twoCellAnchor>
    <xdr:from>
      <xdr:col>3</xdr:col>
      <xdr:colOff>248210</xdr:colOff>
      <xdr:row>14</xdr:row>
      <xdr:rowOff>100854</xdr:rowOff>
    </xdr:from>
    <xdr:to>
      <xdr:col>11</xdr:col>
      <xdr:colOff>324970</xdr:colOff>
      <xdr:row>30</xdr:row>
      <xdr:rowOff>179294</xdr:rowOff>
    </xdr:to>
    <xdr:graphicFrame macro="">
      <xdr:nvGraphicFramePr>
        <xdr:cNvPr id="25" name="Chart 24">
          <a:extLst>
            <a:ext uri="{FF2B5EF4-FFF2-40B4-BE49-F238E27FC236}">
              <a16:creationId xmlns:a16="http://schemas.microsoft.com/office/drawing/2014/main" id="{21820BFF-5690-45E8-99A8-0CB0E5F9D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134468</xdr:colOff>
      <xdr:row>17</xdr:row>
      <xdr:rowOff>11205</xdr:rowOff>
    </xdr:from>
    <xdr:to>
      <xdr:col>10</xdr:col>
      <xdr:colOff>605116</xdr:colOff>
      <xdr:row>18</xdr:row>
      <xdr:rowOff>89646</xdr:rowOff>
    </xdr:to>
    <xdr:sp macro="" textlink="">
      <xdr:nvSpPr>
        <xdr:cNvPr id="22" name="Rectangle 21">
          <a:extLst>
            <a:ext uri="{FF2B5EF4-FFF2-40B4-BE49-F238E27FC236}">
              <a16:creationId xmlns:a16="http://schemas.microsoft.com/office/drawing/2014/main" id="{9A5DAEC0-F1F8-4271-B838-1DA37507D05B}"/>
            </a:ext>
          </a:extLst>
        </xdr:cNvPr>
        <xdr:cNvSpPr/>
      </xdr:nvSpPr>
      <xdr:spPr>
        <a:xfrm>
          <a:off x="2554939" y="3249705"/>
          <a:ext cx="4101353" cy="2689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2"/>
              </a:solidFill>
            </a:rPr>
            <a:t>Sales</a:t>
          </a:r>
          <a:r>
            <a:rPr lang="en-IN" sz="1200" b="1" baseline="0">
              <a:ln>
                <a:noFill/>
              </a:ln>
              <a:solidFill>
                <a:schemeClr val="accent2"/>
              </a:solidFill>
            </a:rPr>
            <a:t>  Performance</a:t>
          </a:r>
          <a:endParaRPr lang="en-IN" sz="1200" b="1">
            <a:ln>
              <a:noFill/>
            </a:ln>
            <a:solidFill>
              <a:schemeClr val="accent2"/>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523875</xdr:colOff>
      <xdr:row>50</xdr:row>
      <xdr:rowOff>38100</xdr:rowOff>
    </xdr:to>
    <xdr:sp macro="" textlink="">
      <xdr:nvSpPr>
        <xdr:cNvPr id="2" name="Rectangle: Rounded Corners 1">
          <a:extLst>
            <a:ext uri="{FF2B5EF4-FFF2-40B4-BE49-F238E27FC236}">
              <a16:creationId xmlns:a16="http://schemas.microsoft.com/office/drawing/2014/main" id="{89E9EE46-0545-4F1E-9171-B17B03E78405}"/>
            </a:ext>
          </a:extLst>
        </xdr:cNvPr>
        <xdr:cNvSpPr/>
      </xdr:nvSpPr>
      <xdr:spPr>
        <a:xfrm>
          <a:off x="0" y="0"/>
          <a:ext cx="15763875" cy="9563100"/>
        </a:xfrm>
        <a:prstGeom prst="roundRect">
          <a:avLst>
            <a:gd name="adj" fmla="val 134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0</xdr:row>
      <xdr:rowOff>0</xdr:rowOff>
    </xdr:from>
    <xdr:to>
      <xdr:col>29</xdr:col>
      <xdr:colOff>76200</xdr:colOff>
      <xdr:row>50</xdr:row>
      <xdr:rowOff>38100</xdr:rowOff>
    </xdr:to>
    <xdr:sp macro="" textlink="">
      <xdr:nvSpPr>
        <xdr:cNvPr id="3" name="Rectangle: Rounded Corners 2">
          <a:extLst>
            <a:ext uri="{FF2B5EF4-FFF2-40B4-BE49-F238E27FC236}">
              <a16:creationId xmlns:a16="http://schemas.microsoft.com/office/drawing/2014/main" id="{8C342371-E96F-4FD3-8382-E5DCD11C6977}"/>
            </a:ext>
          </a:extLst>
        </xdr:cNvPr>
        <xdr:cNvSpPr/>
      </xdr:nvSpPr>
      <xdr:spPr>
        <a:xfrm>
          <a:off x="1990725" y="0"/>
          <a:ext cx="15763875" cy="9563100"/>
        </a:xfrm>
        <a:prstGeom prst="roundRect">
          <a:avLst>
            <a:gd name="adj" fmla="val 134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a:t>
          </a:r>
        </a:p>
      </xdr:txBody>
    </xdr:sp>
    <xdr:clientData/>
  </xdr:twoCellAnchor>
  <xdr:twoCellAnchor>
    <xdr:from>
      <xdr:col>0</xdr:col>
      <xdr:colOff>85725</xdr:colOff>
      <xdr:row>7</xdr:row>
      <xdr:rowOff>19050</xdr:rowOff>
    </xdr:from>
    <xdr:to>
      <xdr:col>3</xdr:col>
      <xdr:colOff>95250</xdr:colOff>
      <xdr:row>9</xdr:row>
      <xdr:rowOff>152400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E811F107-A0AD-4B79-9705-BB3651D454E1}"/>
            </a:ext>
          </a:extLst>
        </xdr:cNvPr>
        <xdr:cNvSpPr/>
      </xdr:nvSpPr>
      <xdr:spPr>
        <a:xfrm>
          <a:off x="85725" y="1352550"/>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DASHBOARD</a:t>
          </a:r>
        </a:p>
      </xdr:txBody>
    </xdr:sp>
    <xdr:clientData/>
  </xdr:twoCellAnchor>
  <xdr:twoCellAnchor>
    <xdr:from>
      <xdr:col>0</xdr:col>
      <xdr:colOff>66675</xdr:colOff>
      <xdr:row>10</xdr:row>
      <xdr:rowOff>180975</xdr:rowOff>
    </xdr:from>
    <xdr:to>
      <xdr:col>3</xdr:col>
      <xdr:colOff>76200</xdr:colOff>
      <xdr:row>13</xdr:row>
      <xdr:rowOff>123825</xdr:rowOff>
    </xdr:to>
    <xdr:sp macro="" textlink="">
      <xdr:nvSpPr>
        <xdr:cNvPr id="5" name="Rectangle: Rounded Corners 4">
          <a:extLst>
            <a:ext uri="{FF2B5EF4-FFF2-40B4-BE49-F238E27FC236}">
              <a16:creationId xmlns:a16="http://schemas.microsoft.com/office/drawing/2014/main" id="{9E775215-ECA6-42D0-A3CA-7DD699E3353C}"/>
            </a:ext>
          </a:extLst>
        </xdr:cNvPr>
        <xdr:cNvSpPr/>
      </xdr:nvSpPr>
      <xdr:spPr>
        <a:xfrm>
          <a:off x="66675" y="2085975"/>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PRODUCTS</a:t>
          </a:r>
        </a:p>
      </xdr:txBody>
    </xdr:sp>
    <xdr:clientData/>
  </xdr:twoCellAnchor>
  <xdr:twoCellAnchor>
    <xdr:from>
      <xdr:col>0</xdr:col>
      <xdr:colOff>76200</xdr:colOff>
      <xdr:row>14</xdr:row>
      <xdr:rowOff>180975</xdr:rowOff>
    </xdr:from>
    <xdr:to>
      <xdr:col>3</xdr:col>
      <xdr:colOff>85725</xdr:colOff>
      <xdr:row>17</xdr:row>
      <xdr:rowOff>123825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69D0742-EBF1-4AFD-BD91-D91FB6EF3F12}"/>
            </a:ext>
          </a:extLst>
        </xdr:cNvPr>
        <xdr:cNvSpPr/>
      </xdr:nvSpPr>
      <xdr:spPr>
        <a:xfrm>
          <a:off x="76200" y="2847975"/>
          <a:ext cx="18383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SALES MANS</a:t>
          </a:r>
        </a:p>
      </xdr:txBody>
    </xdr:sp>
    <xdr:clientData/>
  </xdr:twoCellAnchor>
  <xdr:twoCellAnchor>
    <xdr:from>
      <xdr:col>0</xdr:col>
      <xdr:colOff>66675</xdr:colOff>
      <xdr:row>19</xdr:row>
      <xdr:rowOff>0</xdr:rowOff>
    </xdr:from>
    <xdr:to>
      <xdr:col>3</xdr:col>
      <xdr:colOff>76200</xdr:colOff>
      <xdr:row>21</xdr:row>
      <xdr:rowOff>133350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8A658409-280E-4708-BF97-480EC277AB37}"/>
            </a:ext>
          </a:extLst>
        </xdr:cNvPr>
        <xdr:cNvSpPr/>
      </xdr:nvSpPr>
      <xdr:spPr>
        <a:xfrm>
          <a:off x="66675" y="3619500"/>
          <a:ext cx="1838325" cy="514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ABOUT</a:t>
          </a:r>
        </a:p>
      </xdr:txBody>
    </xdr:sp>
    <xdr:clientData/>
  </xdr:twoCellAnchor>
  <xdr:twoCellAnchor editAs="oneCell">
    <xdr:from>
      <xdr:col>3</xdr:col>
      <xdr:colOff>257175</xdr:colOff>
      <xdr:row>0</xdr:row>
      <xdr:rowOff>57147</xdr:rowOff>
    </xdr:from>
    <xdr:to>
      <xdr:col>12</xdr:col>
      <xdr:colOff>561975</xdr:colOff>
      <xdr:row>6</xdr:row>
      <xdr:rowOff>104774</xdr:rowOff>
    </xdr:to>
    <mc:AlternateContent xmlns:mc="http://schemas.openxmlformats.org/markup-compatibility/2006" xmlns:tsle="http://schemas.microsoft.com/office/drawing/2012/timeslicer">
      <mc:Choice Requires="tsle">
        <xdr:graphicFrame macro="">
          <xdr:nvGraphicFramePr>
            <xdr:cNvPr id="8" name="Date 5">
              <a:extLst>
                <a:ext uri="{FF2B5EF4-FFF2-40B4-BE49-F238E27FC236}">
                  <a16:creationId xmlns:a16="http://schemas.microsoft.com/office/drawing/2014/main" id="{5BF86D6D-9A12-4E0D-B043-872ED9E1D014}"/>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72528" y="57147"/>
              <a:ext cx="5750859" cy="1190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0</xdr:row>
      <xdr:rowOff>47625</xdr:rowOff>
    </xdr:from>
    <xdr:to>
      <xdr:col>20</xdr:col>
      <xdr:colOff>285750</xdr:colOff>
      <xdr:row>6</xdr:row>
      <xdr:rowOff>123825</xdr:rowOff>
    </xdr:to>
    <mc:AlternateContent xmlns:mc="http://schemas.openxmlformats.org/markup-compatibility/2006" xmlns:a14="http://schemas.microsoft.com/office/drawing/2010/main">
      <mc:Choice Requires="a14">
        <xdr:graphicFrame macro="">
          <xdr:nvGraphicFramePr>
            <xdr:cNvPr id="9" name="Place 4">
              <a:extLst>
                <a:ext uri="{FF2B5EF4-FFF2-40B4-BE49-F238E27FC236}">
                  <a16:creationId xmlns:a16="http://schemas.microsoft.com/office/drawing/2014/main" id="{80907AC6-3ED4-4AC6-BDC9-12D84F215C2E}"/>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7876054" y="47625"/>
              <a:ext cx="4512049"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238124</xdr:colOff>
      <xdr:row>6</xdr:row>
      <xdr:rowOff>161925</xdr:rowOff>
    </xdr:from>
    <xdr:to>
      <xdr:col>20</xdr:col>
      <xdr:colOff>276225</xdr:colOff>
      <xdr:row>10</xdr:row>
      <xdr:rowOff>171450</xdr:rowOff>
    </xdr:to>
    <mc:AlternateContent xmlns:mc="http://schemas.openxmlformats.org/markup-compatibility/2006" xmlns:a14="http://schemas.microsoft.com/office/drawing/2010/main">
      <mc:Choice Requires="a14">
        <xdr:graphicFrame macro="">
          <xdr:nvGraphicFramePr>
            <xdr:cNvPr id="10" name="Products 4">
              <a:extLst>
                <a:ext uri="{FF2B5EF4-FFF2-40B4-BE49-F238E27FC236}">
                  <a16:creationId xmlns:a16="http://schemas.microsoft.com/office/drawing/2014/main" id="{69E9C190-2406-429E-815C-343C8AE969EC}"/>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2053477" y="1304925"/>
              <a:ext cx="10325101"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66676</xdr:colOff>
      <xdr:row>11</xdr:row>
      <xdr:rowOff>104775</xdr:rowOff>
    </xdr:from>
    <xdr:to>
      <xdr:col>6</xdr:col>
      <xdr:colOff>114300</xdr:colOff>
      <xdr:row>13</xdr:row>
      <xdr:rowOff>142875</xdr:rowOff>
    </xdr:to>
    <xdr:sp macro="" textlink="">
      <xdr:nvSpPr>
        <xdr:cNvPr id="12" name="Rectangle: Rounded Corners 11">
          <a:extLst>
            <a:ext uri="{FF2B5EF4-FFF2-40B4-BE49-F238E27FC236}">
              <a16:creationId xmlns:a16="http://schemas.microsoft.com/office/drawing/2014/main" id="{BDBD512A-69DF-416B-8D8E-E32C8B00458F}"/>
            </a:ext>
          </a:extLst>
        </xdr:cNvPr>
        <xdr:cNvSpPr/>
      </xdr:nvSpPr>
      <xdr:spPr>
        <a:xfrm>
          <a:off x="2505076" y="2200275"/>
          <a:ext cx="1266824"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2">
                  <a:lumMod val="75000"/>
                </a:schemeClr>
              </a:solidFill>
            </a:rPr>
            <a:t>About</a:t>
          </a:r>
        </a:p>
      </xdr:txBody>
    </xdr:sp>
    <xdr:clientData/>
  </xdr:twoCellAnchor>
  <xdr:twoCellAnchor>
    <xdr:from>
      <xdr:col>3</xdr:col>
      <xdr:colOff>234762</xdr:colOff>
      <xdr:row>14</xdr:row>
      <xdr:rowOff>112058</xdr:rowOff>
    </xdr:from>
    <xdr:to>
      <xdr:col>20</xdr:col>
      <xdr:colOff>224117</xdr:colOff>
      <xdr:row>30</xdr:row>
      <xdr:rowOff>179293</xdr:rowOff>
    </xdr:to>
    <xdr:sp macro="" textlink="">
      <xdr:nvSpPr>
        <xdr:cNvPr id="13" name="Rectangle 12">
          <a:extLst>
            <a:ext uri="{FF2B5EF4-FFF2-40B4-BE49-F238E27FC236}">
              <a16:creationId xmlns:a16="http://schemas.microsoft.com/office/drawing/2014/main" id="{DE408B3D-000D-42E4-AA0B-098625A3DEA5}"/>
            </a:ext>
          </a:extLst>
        </xdr:cNvPr>
        <xdr:cNvSpPr/>
      </xdr:nvSpPr>
      <xdr:spPr>
        <a:xfrm>
          <a:off x="2050115" y="2779058"/>
          <a:ext cx="10276355" cy="3115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12</xdr:col>
      <xdr:colOff>514350</xdr:colOff>
      <xdr:row>11</xdr:row>
      <xdr:rowOff>38100</xdr:rowOff>
    </xdr:from>
    <xdr:to>
      <xdr:col>15</xdr:col>
      <xdr:colOff>95250</xdr:colOff>
      <xdr:row>12</xdr:row>
      <xdr:rowOff>85725</xdr:rowOff>
    </xdr:to>
    <xdr:sp macro="" textlink="">
      <xdr:nvSpPr>
        <xdr:cNvPr id="14" name="Rectangle 13">
          <a:extLst>
            <a:ext uri="{FF2B5EF4-FFF2-40B4-BE49-F238E27FC236}">
              <a16:creationId xmlns:a16="http://schemas.microsoft.com/office/drawing/2014/main" id="{9FB94731-26B4-49E0-8CA5-D20010AFD4FD}"/>
            </a:ext>
          </a:extLst>
        </xdr:cNvPr>
        <xdr:cNvSpPr/>
      </xdr:nvSpPr>
      <xdr:spPr>
        <a:xfrm>
          <a:off x="7829550" y="2133600"/>
          <a:ext cx="1409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2"/>
            </a:solidFill>
          </a:endParaRPr>
        </a:p>
      </xdr:txBody>
    </xdr:sp>
    <xdr:clientData/>
  </xdr:twoCellAnchor>
  <xdr:twoCellAnchor>
    <xdr:from>
      <xdr:col>13</xdr:col>
      <xdr:colOff>537883</xdr:colOff>
      <xdr:row>11</xdr:row>
      <xdr:rowOff>145677</xdr:rowOff>
    </xdr:from>
    <xdr:to>
      <xdr:col>18</xdr:col>
      <xdr:colOff>145676</xdr:colOff>
      <xdr:row>13</xdr:row>
      <xdr:rowOff>33619</xdr:rowOff>
    </xdr:to>
    <xdr:sp macro="" textlink="">
      <xdr:nvSpPr>
        <xdr:cNvPr id="18" name="Rectangle 17">
          <a:extLst>
            <a:ext uri="{FF2B5EF4-FFF2-40B4-BE49-F238E27FC236}">
              <a16:creationId xmlns:a16="http://schemas.microsoft.com/office/drawing/2014/main" id="{745F4810-3F2E-4797-AD02-14D9DFA9A4A4}"/>
            </a:ext>
          </a:extLst>
        </xdr:cNvPr>
        <xdr:cNvSpPr/>
      </xdr:nvSpPr>
      <xdr:spPr>
        <a:xfrm>
          <a:off x="8462683" y="2241177"/>
          <a:ext cx="2655793" cy="2689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chemeClr val="accent2"/>
            </a:solidFill>
          </a:endParaRPr>
        </a:p>
      </xdr:txBody>
    </xdr:sp>
    <xdr:clientData/>
  </xdr:twoCellAnchor>
  <xdr:twoCellAnchor>
    <xdr:from>
      <xdr:col>14</xdr:col>
      <xdr:colOff>582706</xdr:colOff>
      <xdr:row>22</xdr:row>
      <xdr:rowOff>22412</xdr:rowOff>
    </xdr:from>
    <xdr:to>
      <xdr:col>18</xdr:col>
      <xdr:colOff>212911</xdr:colOff>
      <xdr:row>23</xdr:row>
      <xdr:rowOff>134472</xdr:rowOff>
    </xdr:to>
    <xdr:sp macro="" textlink="">
      <xdr:nvSpPr>
        <xdr:cNvPr id="20" name="Rectangle 19">
          <a:extLst>
            <a:ext uri="{FF2B5EF4-FFF2-40B4-BE49-F238E27FC236}">
              <a16:creationId xmlns:a16="http://schemas.microsoft.com/office/drawing/2014/main" id="{D67D3AB0-501A-4191-A7C6-BDA6B050A7D6}"/>
            </a:ext>
          </a:extLst>
        </xdr:cNvPr>
        <xdr:cNvSpPr/>
      </xdr:nvSpPr>
      <xdr:spPr>
        <a:xfrm>
          <a:off x="9117106" y="4213412"/>
          <a:ext cx="2068605" cy="302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200" b="1">
            <a:ln>
              <a:noFill/>
            </a:ln>
            <a:solidFill>
              <a:schemeClr val="accent2"/>
            </a:solidFill>
          </a:endParaRPr>
        </a:p>
      </xdr:txBody>
    </xdr:sp>
    <xdr:clientData/>
  </xdr:twoCellAnchor>
  <xdr:twoCellAnchor>
    <xdr:from>
      <xdr:col>3</xdr:col>
      <xdr:colOff>224118</xdr:colOff>
      <xdr:row>16</xdr:row>
      <xdr:rowOff>67235</xdr:rowOff>
    </xdr:from>
    <xdr:to>
      <xdr:col>19</xdr:col>
      <xdr:colOff>392206</xdr:colOff>
      <xdr:row>25</xdr:row>
      <xdr:rowOff>179294</xdr:rowOff>
    </xdr:to>
    <xdr:sp macro="" textlink="">
      <xdr:nvSpPr>
        <xdr:cNvPr id="22" name="Rectangle 21">
          <a:extLst>
            <a:ext uri="{FF2B5EF4-FFF2-40B4-BE49-F238E27FC236}">
              <a16:creationId xmlns:a16="http://schemas.microsoft.com/office/drawing/2014/main" id="{90C3EE9E-A6ED-4227-9622-1B7DDEA3F6EB}"/>
            </a:ext>
          </a:extLst>
        </xdr:cNvPr>
        <xdr:cNvSpPr/>
      </xdr:nvSpPr>
      <xdr:spPr>
        <a:xfrm>
          <a:off x="2039471" y="3115235"/>
          <a:ext cx="9849970" cy="18265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This dashboard provides a clear and interactive overview of the company’s sales performance, product insights, and salesman efficiency.</a:t>
          </a:r>
          <a:br>
            <a:rPr lang="en-IN" sz="1200" b="1"/>
          </a:br>
          <a:r>
            <a:rPr lang="en-IN" sz="1200" b="1"/>
            <a:t>It is designed to help managers quickly understand business trends and make data-driven decisions.</a:t>
          </a:r>
        </a:p>
        <a:p>
          <a:pPr algn="l"/>
          <a:endParaRPr lang="en-IN" sz="1200" b="1">
            <a:ln>
              <a:noFill/>
            </a:ln>
            <a:solidFill>
              <a:schemeClr val="accent2"/>
            </a:solidFill>
          </a:endParaRPr>
        </a:p>
        <a:p>
          <a:pPr algn="l"/>
          <a:r>
            <a:rPr lang="en-IN" sz="2800" b="1">
              <a:ln>
                <a:noFill/>
              </a:ln>
              <a:solidFill>
                <a:schemeClr val="accent2"/>
              </a:solidFill>
            </a:rPr>
            <a:t>.</a:t>
          </a:r>
        </a:p>
      </xdr:txBody>
    </xdr:sp>
    <xdr:clientData/>
  </xdr:twoCellAnchor>
  <xdr:twoCellAnchor editAs="oneCell">
    <xdr:from>
      <xdr:col>3</xdr:col>
      <xdr:colOff>235323</xdr:colOff>
      <xdr:row>11</xdr:row>
      <xdr:rowOff>33617</xdr:rowOff>
    </xdr:from>
    <xdr:to>
      <xdr:col>4</xdr:col>
      <xdr:colOff>302559</xdr:colOff>
      <xdr:row>14</xdr:row>
      <xdr:rowOff>67234</xdr:rowOff>
    </xdr:to>
    <xdr:pic>
      <xdr:nvPicPr>
        <xdr:cNvPr id="24" name="Graphic 23" descr="Head with gears">
          <a:extLst>
            <a:ext uri="{FF2B5EF4-FFF2-40B4-BE49-F238E27FC236}">
              <a16:creationId xmlns:a16="http://schemas.microsoft.com/office/drawing/2014/main" id="{32AD5B13-AAE6-898A-F860-7DE839223B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50676" y="2129117"/>
          <a:ext cx="672354" cy="6051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419100</xdr:colOff>
      <xdr:row>2</xdr:row>
      <xdr:rowOff>0</xdr:rowOff>
    </xdr:from>
    <xdr:to>
      <xdr:col>10</xdr:col>
      <xdr:colOff>519339</xdr:colOff>
      <xdr:row>6</xdr:row>
      <xdr:rowOff>76200</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91356013-B0ED-09B5-9A7B-A3C2AB4D31F0}"/>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2209800" y="381000"/>
              <a:ext cx="569595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66674</xdr:colOff>
      <xdr:row>2</xdr:row>
      <xdr:rowOff>161926</xdr:rowOff>
    </xdr:from>
    <xdr:to>
      <xdr:col>18</xdr:col>
      <xdr:colOff>238125</xdr:colOff>
      <xdr:row>9</xdr:row>
      <xdr:rowOff>66676</xdr:rowOff>
    </xdr:to>
    <mc:AlternateContent xmlns:mc="http://schemas.openxmlformats.org/markup-compatibility/2006" xmlns:a14="http://schemas.microsoft.com/office/drawing/2010/main">
      <mc:Choice Requires="a14">
        <xdr:graphicFrame macro="">
          <xdr:nvGraphicFramePr>
            <xdr:cNvPr id="4" name="Place">
              <a:extLst>
                <a:ext uri="{FF2B5EF4-FFF2-40B4-BE49-F238E27FC236}">
                  <a16:creationId xmlns:a16="http://schemas.microsoft.com/office/drawing/2014/main" id="{E6D3A13C-DA5D-EEA2-650A-BDBE31F42F1C}"/>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9534524" y="542926"/>
              <a:ext cx="3219451"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400050</xdr:colOff>
      <xdr:row>39</xdr:row>
      <xdr:rowOff>4762</xdr:rowOff>
    </xdr:from>
    <xdr:to>
      <xdr:col>11</xdr:col>
      <xdr:colOff>495300</xdr:colOff>
      <xdr:row>53</xdr:row>
      <xdr:rowOff>80962</xdr:rowOff>
    </xdr:to>
    <xdr:graphicFrame macro="">
      <xdr:nvGraphicFramePr>
        <xdr:cNvPr id="7" name="Chart 6">
          <a:extLst>
            <a:ext uri="{FF2B5EF4-FFF2-40B4-BE49-F238E27FC236}">
              <a16:creationId xmlns:a16="http://schemas.microsoft.com/office/drawing/2014/main" id="{4CB317DB-58F7-E974-E1A2-FF947D829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56</xdr:row>
      <xdr:rowOff>66675</xdr:rowOff>
    </xdr:from>
    <xdr:to>
      <xdr:col>12</xdr:col>
      <xdr:colOff>85725</xdr:colOff>
      <xdr:row>65</xdr:row>
      <xdr:rowOff>71437</xdr:rowOff>
    </xdr:to>
    <xdr:graphicFrame macro="">
      <xdr:nvGraphicFramePr>
        <xdr:cNvPr id="8" name="Chart 7">
          <a:extLst>
            <a:ext uri="{FF2B5EF4-FFF2-40B4-BE49-F238E27FC236}">
              <a16:creationId xmlns:a16="http://schemas.microsoft.com/office/drawing/2014/main" id="{FAE33128-FADB-5A7A-98E2-1D5E157B5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94</xdr:row>
      <xdr:rowOff>0</xdr:rowOff>
    </xdr:from>
    <xdr:to>
      <xdr:col>15</xdr:col>
      <xdr:colOff>200025</xdr:colOff>
      <xdr:row>100</xdr:row>
      <xdr:rowOff>47627</xdr:rowOff>
    </xdr:to>
    <mc:AlternateContent xmlns:mc="http://schemas.openxmlformats.org/markup-compatibility/2006" xmlns:tsle="http://schemas.microsoft.com/office/drawing/2012/timeslicer">
      <mc:Choice Requires="tsle">
        <xdr:graphicFrame macro="">
          <xdr:nvGraphicFramePr>
            <xdr:cNvPr id="9" name="Date 2">
              <a:extLst>
                <a:ext uri="{FF2B5EF4-FFF2-40B4-BE49-F238E27FC236}">
                  <a16:creationId xmlns:a16="http://schemas.microsoft.com/office/drawing/2014/main" id="{3CBD9E5B-9014-4F05-849D-CF9222D34A5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5095875" y="17907000"/>
              <a:ext cx="5791200" cy="1190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85725</xdr:colOff>
      <xdr:row>10</xdr:row>
      <xdr:rowOff>80962</xdr:rowOff>
    </xdr:from>
    <xdr:to>
      <xdr:col>16</xdr:col>
      <xdr:colOff>247650</xdr:colOff>
      <xdr:row>24</xdr:row>
      <xdr:rowOff>157162</xdr:rowOff>
    </xdr:to>
    <xdr:graphicFrame macro="">
      <xdr:nvGraphicFramePr>
        <xdr:cNvPr id="13" name="Chart 12">
          <a:extLst>
            <a:ext uri="{FF2B5EF4-FFF2-40B4-BE49-F238E27FC236}">
              <a16:creationId xmlns:a16="http://schemas.microsoft.com/office/drawing/2014/main" id="{D973CC4A-C051-20E0-101C-9E28E8C5D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847725</xdr:colOff>
      <xdr:row>128</xdr:row>
      <xdr:rowOff>4762</xdr:rowOff>
    </xdr:from>
    <xdr:to>
      <xdr:col>10</xdr:col>
      <xdr:colOff>466725</xdr:colOff>
      <xdr:row>142</xdr:row>
      <xdr:rowOff>80962</xdr:rowOff>
    </xdr:to>
    <xdr:graphicFrame macro="">
      <xdr:nvGraphicFramePr>
        <xdr:cNvPr id="14" name="Chart 13">
          <a:extLst>
            <a:ext uri="{FF2B5EF4-FFF2-40B4-BE49-F238E27FC236}">
              <a16:creationId xmlns:a16="http://schemas.microsoft.com/office/drawing/2014/main" id="{DD4462C6-8966-6381-2EBB-FFF50C3C7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281394</xdr:colOff>
      <xdr:row>202</xdr:row>
      <xdr:rowOff>229</xdr:rowOff>
    </xdr:from>
    <xdr:to>
      <xdr:col>13</xdr:col>
      <xdr:colOff>491810</xdr:colOff>
      <xdr:row>216</xdr:row>
      <xdr:rowOff>106989</xdr:rowOff>
    </xdr:to>
    <xdr:graphicFrame macro="">
      <xdr:nvGraphicFramePr>
        <xdr:cNvPr id="2" name="Chart 1">
          <a:extLst>
            <a:ext uri="{FF2B5EF4-FFF2-40B4-BE49-F238E27FC236}">
              <a16:creationId xmlns:a16="http://schemas.microsoft.com/office/drawing/2014/main" id="{3762F5F9-224A-81A0-A3AA-4321A880F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350383</xdr:colOff>
      <xdr:row>216</xdr:row>
      <xdr:rowOff>153533</xdr:rowOff>
    </xdr:from>
    <xdr:to>
      <xdr:col>11</xdr:col>
      <xdr:colOff>454705</xdr:colOff>
      <xdr:row>231</xdr:row>
      <xdr:rowOff>5215</xdr:rowOff>
    </xdr:to>
    <xdr:graphicFrame macro="">
      <xdr:nvGraphicFramePr>
        <xdr:cNvPr id="5" name="Chart 4">
          <a:extLst>
            <a:ext uri="{FF2B5EF4-FFF2-40B4-BE49-F238E27FC236}">
              <a16:creationId xmlns:a16="http://schemas.microsoft.com/office/drawing/2014/main" id="{1DE046A6-0B2E-05AE-D729-CAEFDE857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10205</xdr:colOff>
      <xdr:row>231</xdr:row>
      <xdr:rowOff>147409</xdr:rowOff>
    </xdr:from>
    <xdr:to>
      <xdr:col>11</xdr:col>
      <xdr:colOff>545419</xdr:colOff>
      <xdr:row>241</xdr:row>
      <xdr:rowOff>39231</xdr:rowOff>
    </xdr:to>
    <xdr:graphicFrame macro="">
      <xdr:nvGraphicFramePr>
        <xdr:cNvPr id="6" name="Chart 5">
          <a:extLst>
            <a:ext uri="{FF2B5EF4-FFF2-40B4-BE49-F238E27FC236}">
              <a16:creationId xmlns:a16="http://schemas.microsoft.com/office/drawing/2014/main" id="{E2B4512F-776C-3001-ECFE-DA6149A3B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419552</xdr:colOff>
      <xdr:row>242</xdr:row>
      <xdr:rowOff>79375</xdr:rowOff>
    </xdr:from>
    <xdr:to>
      <xdr:col>11</xdr:col>
      <xdr:colOff>57829</xdr:colOff>
      <xdr:row>252</xdr:row>
      <xdr:rowOff>181429</xdr:rowOff>
    </xdr:to>
    <xdr:graphicFrame macro="">
      <xdr:nvGraphicFramePr>
        <xdr:cNvPr id="10" name="Chart 9">
          <a:extLst>
            <a:ext uri="{FF2B5EF4-FFF2-40B4-BE49-F238E27FC236}">
              <a16:creationId xmlns:a16="http://schemas.microsoft.com/office/drawing/2014/main" id="{554E36AA-78BA-5E69-03F8-B3FC669F0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78726852" backgroundQuery="1" createdVersion="8" refreshedVersion="8" minRefreshableVersion="3" recordCount="0" supportSubquery="1" supportAdvancedDrill="1" xr:uid="{9A097933-9598-4D82-8F03-142878AA3283}">
  <cacheSource type="external" connectionId="1"/>
  <cacheFields count="3">
    <cacheField name="[Measures].[Sum of Amount]" caption="Sum of Amount" numFmtId="0" hierarchy="16" level="32767"/>
    <cacheField name="[Range].[Products].[Products]" caption="Products" numFmtId="0" hierarchy="2" level="1">
      <sharedItems count="3">
        <s v="LED TV's"/>
        <s v="Mobiles"/>
        <s v="Speakers"/>
      </sharedItems>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1"/>
      </fieldsUsage>
    </cacheHierarchy>
    <cacheHierarchy uniqueName="[Range].[Place]" caption="Place" attribute="1" defaultMemberUniqueName="[Range].[Place].[All]" allUniqueName="[Range].[Place].[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789467591" backgroundQuery="1" createdVersion="8" refreshedVersion="8" minRefreshableVersion="3" recordCount="0" supportSubquery="1" supportAdvancedDrill="1" xr:uid="{8639B3CF-4D4C-4F29-9822-A8547EDFBD26}">
  <cacheSource type="external" connectionId="1"/>
  <cacheFields count="3">
    <cacheField name="[Range].[Products].[Products]" caption="Products" numFmtId="0" hierarchy="2" level="1">
      <sharedItems count="3">
        <s v="4K LED TV's"/>
        <s v="Furniture"/>
        <s v="Laptops"/>
      </sharedItems>
    </cacheField>
    <cacheField name="[Measures].[Sum of Amount]" caption="Sum of Amount" numFmtId="0" hierarchy="16" level="32767"/>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0"/>
      </fieldsUsage>
    </cacheHierarchy>
    <cacheHierarchy uniqueName="[Range].[Place]" caption="Place" attribute="1" defaultMemberUniqueName="[Range].[Place].[All]" allUniqueName="[Range].[Place].[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18402777" backgroundQuery="1" createdVersion="8" refreshedVersion="8" minRefreshableVersion="3" recordCount="0" supportSubquery="1" supportAdvancedDrill="1" xr:uid="{3209D963-BF8E-4582-8A3E-806443527E3B}">
  <cacheSource type="external" connectionId="1"/>
  <cacheFields count="3">
    <cacheField name="[Range].[Products].[Products]" caption="Products" numFmtId="0" hierarchy="2" level="1">
      <sharedItems count="1">
        <s v="Speakers"/>
      </sharedItems>
    </cacheField>
    <cacheField name="[Measures].[Sum of Price]" caption="Sum of Price" numFmtId="0" hierarchy="14" level="32767"/>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0"/>
      </fieldsUsage>
    </cacheHierarchy>
    <cacheHierarchy uniqueName="[Range].[Place]" caption="Place" attribute="1" defaultMemberUniqueName="[Range].[Place].[All]" allUniqueName="[Range].[Place].[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19097223" backgroundQuery="1" createdVersion="8" refreshedVersion="8" minRefreshableVersion="3" recordCount="0" supportSubquery="1" supportAdvancedDrill="1" xr:uid="{B9B719A0-9F1E-400B-A555-33D2AB5DE0CF}">
  <cacheSource type="external" connectionId="1"/>
  <cacheFields count="3">
    <cacheField name="[Measures].[Sum of Amount]" caption="Sum of Amount" numFmtId="0" hierarchy="16" level="32767"/>
    <cacheField name="[Range].[Place].[Place]" caption="Place" numFmtId="0" hierarchy="3" level="1">
      <sharedItems count="4">
        <s v="Guntur"/>
        <s v="Tenali" u="1"/>
        <s v="Vijayawada" u="1"/>
        <s v="Ongole" u="1"/>
      </sharedItems>
    </cacheField>
    <cacheField name="[Range].[Products].[Products]" caption="Products" numFmtId="0" hierarchy="2"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2"/>
      </fieldsUsage>
    </cacheHierarchy>
    <cacheHierarchy uniqueName="[Range].[Place]" caption="Place" attribute="1" defaultMemberUniqueName="[Range].[Place].[All]" allUniqueName="[Range].[Place].[All]" dimensionUniqueName="[Range]" displayFolder="" count="2" memberValueDatatype="130" unbalanced="0">
      <fieldsUsage count="2">
        <fieldUsage x="-1"/>
        <fieldUsage x="1"/>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1979167" backgroundQuery="1" createdVersion="8" refreshedVersion="8" minRefreshableVersion="3" recordCount="0" supportSubquery="1" supportAdvancedDrill="1" xr:uid="{169716AC-539D-49C7-B453-09876D3EA455}">
  <cacheSource type="external" connectionId="1"/>
  <cacheFields count="3">
    <cacheField name="[Measures].[Count of Amount]" caption="Count of Amount" numFmtId="0" hierarchy="17" level="32767"/>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1"/>
      </fieldsUsage>
    </cacheHierarchy>
    <cacheHierarchy uniqueName="[Range].[Place]" caption="Place" attribute="1" defaultMemberUniqueName="[Range].[Place].[All]" allUniqueName="[Range].[Place].[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0138885" backgroundQuery="1" createdVersion="8" refreshedVersion="8" minRefreshableVersion="3" recordCount="0" supportSubquery="1" supportAdvancedDrill="1" xr:uid="{F63F470B-E5D8-4965-BEC0-C831ACA8C712}">
  <cacheSource type="external" connectionId="1"/>
  <cacheFields count="3">
    <cacheField name="[Measures].[Sum of Amount]" caption="Sum of Amount" numFmtId="0" hierarchy="16" level="32767"/>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1"/>
      </fieldsUsage>
    </cacheHierarchy>
    <cacheHierarchy uniqueName="[Range].[Place]" caption="Place" attribute="1" defaultMemberUniqueName="[Range].[Place].[All]" allUniqueName="[Range].[Place].[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0601855" backgroundQuery="1" createdVersion="8" refreshedVersion="8" minRefreshableVersion="3" recordCount="0" supportSubquery="1" supportAdvancedDrill="1" xr:uid="{E5A438B7-FFB7-46B2-AF37-C87BFA23DC07}">
  <cacheSource type="external" connectionId="1"/>
  <cacheFields count="4">
    <cacheField name="[Range].[Date (Month)].[Date (Month)]" caption="Date (Month)" numFmtId="0" hierarchy="7" level="1">
      <sharedItems count="4">
        <s v="Jan"/>
        <s v="Feb"/>
        <s v="Apr"/>
        <s v="Nov"/>
      </sharedItems>
    </cacheField>
    <cacheField name="[Measures].[Sum of Amount]" caption="Sum of Amount" numFmtId="0" hierarchy="16" level="32767"/>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2"/>
      </fieldsUsage>
    </cacheHierarchy>
    <cacheHierarchy uniqueName="[Range].[Place]" caption="Place" attribute="1" defaultMemberUniqueName="[Range].[Place].[All]" allUniqueName="[Range].[Place].[All]" dimensionUniqueName="[Range]" displayFolder="" count="2" memberValueDatatype="130" unbalanced="0">
      <fieldsUsage count="2">
        <fieldUsage x="-1"/>
        <fieldUsage x="3"/>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141204" backgroundQuery="1" createdVersion="8" refreshedVersion="8" minRefreshableVersion="3" recordCount="0" supportSubquery="1" supportAdvancedDrill="1" xr:uid="{C5CCF594-1772-4EC2-9EEE-53AFF275A188}">
  <cacheSource type="external" connectionId="1"/>
  <cacheFields count="2">
    <cacheField name="[Measures].[Sum of Units]" caption="Sum of Units" numFmtId="0" hierarchy="18" level="32767"/>
    <cacheField name="[Range].[Products].[Products]" caption="Products" numFmtId="0" hierarchy="2" level="1">
      <sharedItems count="1">
        <s v="Speakers"/>
      </sharedItems>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2" memberValueDatatype="130" unbalanced="0">
      <fieldsUsage count="2">
        <fieldUsage x="-1"/>
        <fieldUsage x="1"/>
      </fieldsUsage>
    </cacheHierarchy>
    <cacheHierarchy uniqueName="[Range].[Place]" caption="Place" attribute="1" defaultMemberUniqueName="[Range].[Place].[All]" allUniqueName="[Range].[Place].[All]" dimensionUniqueName="[Range]" displayFolder="" count="2" memberValueDatatype="130" unbalanced="0"/>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199074" backgroundQuery="1" createdVersion="8" refreshedVersion="8" minRefreshableVersion="3" recordCount="0" supportSubquery="1" supportAdvancedDrill="1" xr:uid="{621AABC6-8A22-4AAB-A6F1-CA721E72492B}">
  <cacheSource type="external" connectionId="1"/>
  <cacheFields count="4">
    <cacheField name="[Range].[Sales Persons].[Sales Persons]" caption="Sales Persons" numFmtId="0" hierarchy="1" level="1">
      <sharedItems count="3">
        <s v="Gopi"/>
        <s v="Kiran"/>
        <s v="Prathap"/>
      </sharedItems>
    </cacheField>
    <cacheField name="[Measures].[Sum of Units]" caption="Sum of Units" numFmtId="0" hierarchy="18" level="32767"/>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2" memberValueDatatype="130" unbalanced="0">
      <fieldsUsage count="2">
        <fieldUsage x="-1"/>
        <fieldUsage x="0"/>
      </fieldsUsage>
    </cacheHierarchy>
    <cacheHierarchy uniqueName="[Range].[Products]" caption="Products" attribute="1" defaultMemberUniqueName="[Range].[Products].[All]" allUniqueName="[Range].[Products].[All]" dimensionUniqueName="[Range]" displayFolder="" count="2" memberValueDatatype="130" unbalanced="0">
      <fieldsUsage count="2">
        <fieldUsage x="-1"/>
        <fieldUsage x="2"/>
      </fieldsUsage>
    </cacheHierarchy>
    <cacheHierarchy uniqueName="[Range].[Place]" caption="Place" attribute="1" defaultMemberUniqueName="[Range].[Place].[All]" allUniqueName="[Range].[Place].[All]" dimensionUniqueName="[Range]" displayFolder="" count="2" memberValueDatatype="130" unbalanced="0">
      <fieldsUsage count="2">
        <fieldUsage x="-1"/>
        <fieldUsage x="3"/>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2916664" backgroundQuery="1" createdVersion="8" refreshedVersion="8" minRefreshableVersion="3" recordCount="0" supportSubquery="1" supportAdvancedDrill="1" xr:uid="{19265257-76E5-4248-B6AD-59138628870D}">
  <cacheSource type="external" connectionId="1"/>
  <cacheFields count="4">
    <cacheField name="[Range].[Sales Persons].[Sales Persons]" caption="Sales Persons" numFmtId="0" hierarchy="1" level="1">
      <sharedItems count="3">
        <s v="Gopi"/>
        <s v="Kiran"/>
        <s v="Prathap"/>
      </sharedItems>
    </cacheField>
    <cacheField name="[Measures].[Sum of Units]" caption="Sum of Units" numFmtId="0" hierarchy="18" level="32767"/>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2" memberValueDatatype="130" unbalanced="0">
      <fieldsUsage count="2">
        <fieldUsage x="-1"/>
        <fieldUsage x="0"/>
      </fieldsUsage>
    </cacheHierarchy>
    <cacheHierarchy uniqueName="[Range].[Products]" caption="Products" attribute="1" defaultMemberUniqueName="[Range].[Products].[All]" allUniqueName="[Range].[Products].[All]" dimensionUniqueName="[Range]" displayFolder="" count="2" memberValueDatatype="130" unbalanced="0">
      <fieldsUsage count="2">
        <fieldUsage x="-1"/>
        <fieldUsage x="2"/>
      </fieldsUsage>
    </cacheHierarchy>
    <cacheHierarchy uniqueName="[Range].[Place]" caption="Place" attribute="1" defaultMemberUniqueName="[Range].[Place].[All]" allUniqueName="[Range].[Place].[All]" dimensionUniqueName="[Range]" displayFolder="" count="2" memberValueDatatype="130" unbalanced="0">
      <fieldsUsage count="2">
        <fieldUsage x="-1"/>
        <fieldUsage x="3"/>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6.999923958334" backgroundQuery="1" createdVersion="8" refreshedVersion="8" minRefreshableVersion="3" recordCount="0" supportSubquery="1" supportAdvancedDrill="1" xr:uid="{E596D869-C314-4594-8720-36EA56B8972E}">
  <cacheSource type="external" connectionId="1"/>
  <cacheFields count="4">
    <cacheField name="[Measures].[Sum of Units]" caption="Sum of Units" numFmtId="0" hierarchy="18" level="32767"/>
    <cacheField name="[Range].[Sales Persons].[Sales Persons]" caption="Sales Persons" numFmtId="0" hierarchy="1" level="1">
      <sharedItems count="3">
        <s v="Gopi"/>
        <s v="Kiran"/>
        <s v="Prathap"/>
      </sharedItems>
    </cacheField>
    <cacheField name="[Range].[Products].[Products]" caption="Products" numFmtId="0" hierarchy="2" level="1">
      <sharedItems containsSemiMixedTypes="0" containsNonDate="0" containsString="0"/>
    </cacheField>
    <cacheField name="[Range].[Place].[Place]" caption="Place" numFmtId="0" hierarchy="3" level="1">
      <sharedItems containsSemiMixedTypes="0" containsNonDate="0" containsString="0"/>
    </cacheField>
  </cacheFields>
  <cacheHierarchies count="19">
    <cacheHierarchy uniqueName="[Range].[Date]" caption="Date" attribute="1" time="1" defaultMemberUniqueName="[Range].[Date].[All]" allUniqueName="[Range].[Date].[All]" dimensionUniqueName="[Range]" displayFolder="" count="2" memberValueDatatype="7" unbalanced="0"/>
    <cacheHierarchy uniqueName="[Range].[Sales Persons]" caption="Sales Persons" attribute="1" defaultMemberUniqueName="[Range].[Sales Persons].[All]" allUniqueName="[Range].[Sales Persons].[All]" dimensionUniqueName="[Range]" displayFolder="" count="2" memberValueDatatype="130" unbalanced="0">
      <fieldsUsage count="2">
        <fieldUsage x="-1"/>
        <fieldUsage x="1"/>
      </fieldsUsage>
    </cacheHierarchy>
    <cacheHierarchy uniqueName="[Range].[Products]" caption="Products" attribute="1" defaultMemberUniqueName="[Range].[Products].[All]" allUniqueName="[Range].[Products].[All]" dimensionUniqueName="[Range]" displayFolder="" count="2" memberValueDatatype="130" unbalanced="0">
      <fieldsUsage count="2">
        <fieldUsage x="-1"/>
        <fieldUsage x="2"/>
      </fieldsUsage>
    </cacheHierarchy>
    <cacheHierarchy uniqueName="[Range].[Place]" caption="Place" attribute="1" defaultMemberUniqueName="[Range].[Place].[All]" allUniqueName="[Range].[Place].[All]" dimensionUniqueName="[Range]" displayFolder="" count="2" memberValueDatatype="130" unbalanced="0">
      <fieldsUsage count="2">
        <fieldUsage x="-1"/>
        <fieldUsage x="3"/>
      </fieldsUsage>
    </cacheHierarchy>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849729629626" backgroundQuery="1" createdVersion="3" refreshedVersion="8" minRefreshableVersion="3" recordCount="0" supportSubquery="1" supportAdvancedDrill="1" xr:uid="{E800F470-6455-4726-B07D-B3A5202305E8}">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Date]" caption="Date" attribute="1" time="1" defaultMemberUniqueName="[Range].[Date].[All]" allUniqueName="[Range].[Date].[All]" dimensionUniqueName="[Range]" displayFolder="" count="0"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0" memberValueDatatype="130" unbalanced="0"/>
    <cacheHierarchy uniqueName="[Range].[Place]" caption="Place" attribute="1" defaultMemberUniqueName="[Range].[Place].[All]" allUniqueName="[Range].[Place].[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59154082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849730092596" backgroundQuery="1" createdVersion="3" refreshedVersion="8" minRefreshableVersion="3" recordCount="0" supportSubquery="1" supportAdvancedDrill="1" xr:uid="{3334EBAF-2170-41C4-AA23-FEB209BBC519}">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Date]" caption="Date" attribute="1" time="1" defaultMemberUniqueName="[Range].[Date].[All]" allUniqueName="[Range].[Date].[All]" dimensionUniqueName="[Range]" displayFolder="" count="0" memberValueDatatype="7" unbalanced="0"/>
    <cacheHierarchy uniqueName="[Range].[Sales Persons]" caption="Sales Persons" attribute="1" defaultMemberUniqueName="[Range].[Sales Persons].[All]" allUniqueName="[Range].[Sales Persons].[All]" dimensionUniqueName="[Range]" displayFolder="" count="0" memberValueDatatype="130" unbalanced="0"/>
    <cacheHierarchy uniqueName="[Range].[Products]" caption="Products" attribute="1" defaultMemberUniqueName="[Range].[Products].[All]" allUniqueName="[Range].[Products].[All]" dimensionUniqueName="[Range]" displayFolder="" count="0" memberValueDatatype="130" unbalanced="0"/>
    <cacheHierarchy uniqueName="[Range].[Place]" caption="Place" attribute="1" defaultMemberUniqueName="[Range].[Place].[All]" allUniqueName="[Range].[Place].[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Units]" caption="Units" attribute="1" defaultMemberUniqueName="[Range].[Units].[All]" allUniqueName="[Range].[Units].[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lace]" caption="Count of Place" measure="1" displayFolder="" measureGroup="Range"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4"/>
        </ext>
      </extLst>
    </cacheHierarchy>
    <cacheHierarchy uniqueName="[Measures].[Count of Sales Persons]" caption="Count of Sales Persons"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17377679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F5D80-55B6-4217-8009-001D0A93404A}" name="PivotTable17"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B131:C135"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2">
    <chartFormat chart="9"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3" iMeasureHier="16">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DFD69-8F26-4EFC-966A-F9EA8A99D0E6}" name="PivotTable8"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location ref="B57:C61"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showDataAs="percentOfCol" baseField="0" baseItem="0" numFmtId="10"/>
  </dataFields>
  <formats count="3">
    <format dxfId="2">
      <pivotArea dataOnly="0" labelOnly="1" outline="0" axis="axisValues" fieldPosition="0"/>
    </format>
    <format dxfId="1">
      <pivotArea outline="0" collapsedLevelsAreSubtotals="1" fieldPosition="0"/>
    </format>
    <format dxfId="0">
      <pivotArea outline="0" fieldPosition="0">
        <references count="1">
          <reference field="4294967294" count="1">
            <x v="0"/>
          </reference>
        </references>
      </pivotArea>
    </format>
  </format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9" iMeasureHier="16">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9763F-DFD4-4051-B289-15A8B5B4BE13}" name="PivotTable10"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77:C7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Amount" fld="0" subtotal="count" baseField="0" baseItem="0"/>
  </dataField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A5FCE-AD28-48FD-9021-971888B3447B}"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234:D238" firstHeaderRow="1" firstDataRow="1" firstDataCol="1"/>
  <pivotFields count="4">
    <pivotField dataField="1" subtotalTop="0" showAll="0" defaultSubtotal="0"/>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Units"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8">
      <autoFilter ref="A1">
        <filterColumn colId="0">
          <top10 top="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3C20EA-75B2-46A5-B3B4-21C23404EEFC}" name="PivotTable7"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B42:C44" firstHeaderRow="1" firstDataRow="1" firstDataCol="1"/>
  <pivotFields count="3">
    <pivotField dataField="1" subtotalTop="0" showAll="0" defaultSubtotal="0"/>
    <pivotField axis="axisRow" allDrilled="1" subtotalTop="0" showAll="0" dataSourceSort="1" defaultSubtotal="0" defaultAttributeDrillState="1">
      <items count="4">
        <item s="1" x="0"/>
        <item x="1"/>
        <item x="2"/>
        <item x="3"/>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Amount" fld="0" baseField="0" baseItem="0" numFmtId="164"/>
  </dataFields>
  <formats count="2">
    <format dxfId="4">
      <pivotArea dataOnly="0" labelOnly="1" outline="0" axis="axisValues" fieldPosition="0"/>
    </format>
    <format dxfId="3">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3"/>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10" format="5"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Range].[Products].&amp;[Speaker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8389D-B21A-49B1-98C3-D13A2A2BA34F}" name="PivotTable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224:D228"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Units"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CE9FFA-7C84-4B8E-BDF4-33F2E1B0AE3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06:D208"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Units"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8942DB-805F-43DC-8AFB-4B6DE885C506}" name="PivotTable5"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F18:G23"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formats count="1">
    <format dxfId="5">
      <pivotArea collapsedLevelsAreSubtotals="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A3BF97-C4E9-4ACB-96F4-09480FB8F12E}" name="PivotTable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ice" fld="1" baseField="0" baseItem="0"/>
  </dataFields>
  <pivotHierarchies count="19">
    <pivotHierarchy dragToData="1"/>
    <pivotHierarchy dragToData="1"/>
    <pivotHierarchy multipleItemSelectionAllowed="1" dragToData="1"/>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E2A0AF-7015-4CC3-A49E-7B569C03AB35}" name="PivotTable1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246:D250" firstHeaderRow="1" firstDataRow="1" firstDataCol="1"/>
  <pivotFields count="4">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Unit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AA991D-D460-43DF-AA9C-25810AB643AD}" name="PivotTable9"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72:C7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Amount" fld="0" baseField="0" baseItem="0"/>
  </dataFields>
  <pivotHierarchies count="19">
    <pivotHierarchy dragToData="1"/>
    <pivotHierarchy dragToData="1"/>
    <pivotHierarchy multipleItemSelectionAllowed="1" dragToData="1">
      <members count="1" level="1">
        <member name="[Range].[Products].&amp;[Speakers]"/>
      </members>
    </pivotHierarchy>
    <pivotHierarchy multipleItemSelectionAllowed="1" dragToData="1">
      <members count="1" level="1">
        <member name="[Range].[Place].&amp;[Guntu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ata!$A$1:$G$2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DC3583D4-CA9E-4CEF-A709-7DD6160ABD43}" sourceName="[Range].[Products]">
  <pivotTables>
    <pivotTable tabId="3" name="PivotTable1"/>
    <pivotTable tabId="3" name="PivotTable7"/>
    <pivotTable tabId="3" name="PivotTable10"/>
    <pivotTable tabId="3" name="PivotTable9"/>
    <pivotTable tabId="3" name="PivotTable5"/>
    <pivotTable tabId="3" name="PivotTable3"/>
    <pivotTable tabId="3" name="PivotTable11"/>
    <pivotTable tabId="3" name="PivotTable4"/>
    <pivotTable tabId="3" name="PivotTable6"/>
  </pivotTables>
  <data>
    <olap pivotCacheId="1591540828">
      <levels count="2">
        <level uniqueName="[Range].[Products].[(All)]" sourceCaption="(All)" count="0"/>
        <level uniqueName="[Range].[Products].[Products]" sourceCaption="Products" count="6">
          <ranges>
            <range startItem="0">
              <i n="[Range].[Products].&amp;[4K LED TV's]" c="4K LED TV's"/>
              <i n="[Range].[Products].&amp;[Furniture]" c="Furniture"/>
              <i n="[Range].[Products].&amp;[Laptops]" c="Laptops"/>
              <i n="[Range].[Products].&amp;[LED TV's]" c="LED TV's"/>
              <i n="[Range].[Products].&amp;[Mobiles]" c="Mobiles"/>
              <i n="[Range].[Products].&amp;[Speakers]" c="Speakers"/>
            </range>
          </ranges>
        </level>
      </levels>
      <selections count="1">
        <selection n="[Range].[Products].&amp;[Speaker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3589A065-B0DD-4608-B283-B21EC783C3A8}" sourceName="[Range].[Place]">
  <pivotTables>
    <pivotTable tabId="3" name="PivotTable1"/>
    <pivotTable tabId="3" name="PivotTable7"/>
    <pivotTable tabId="3" name="PivotTable8"/>
    <pivotTable tabId="3" name="PivotTable10"/>
    <pivotTable tabId="3" name="PivotTable9"/>
    <pivotTable tabId="3" name="PivotTable5"/>
    <pivotTable tabId="3" name="PivotTable17"/>
    <pivotTable tabId="3" name="PivotTable11"/>
    <pivotTable tabId="3" name="PivotTable4"/>
    <pivotTable tabId="3" name="PivotTable6"/>
  </pivotTables>
  <data>
    <olap pivotCacheId="1591540828">
      <levels count="2">
        <level uniqueName="[Range].[Place].[(All)]" sourceCaption="(All)" count="0"/>
        <level uniqueName="[Range].[Place].[Place]" sourceCaption="Place" count="6">
          <ranges>
            <range startItem="0">
              <i n="[Range].[Place].&amp;[Bapatla]" c="Bapatla"/>
              <i n="[Range].[Place].&amp;[Guntur]" c="Guntur"/>
              <i n="[Range].[Place].&amp;[Ongole]" c="Ongole"/>
              <i n="[Range].[Place].&amp;[Tenali]" c="Tenali"/>
              <i n="[Range].[Place].&amp;[Vijayawada]" c="Vijayawada"/>
              <i n="[Range].[Place].&amp;[Chirala]" c="Chirala"/>
            </range>
          </ranges>
        </level>
      </levels>
      <selections count="1">
        <selection n="[Range].[Place].&amp;[Guntu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F403F995-C9A1-46B3-B1E0-6874B6D4434F}" cache="Slicer_Products" caption="Products" columnCount="6" level="1" style="SlicerStyleDark2" rowHeight="257175"/>
  <slicer name="Place 1" xr10:uid="{9E0E2EDA-100C-4D2F-84D2-29757AF9D020}" cache="Slicer_Place" caption="Place" columnCount="2" level="1" style="SlicerStyleDark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EE1EEABC-7173-4BFC-9847-54A544B002CD}" cache="Slicer_Products" caption="Products" columnCount="6" level="1" style="SlicerStyleDark2" rowHeight="257175"/>
  <slicer name="Place 2" xr10:uid="{220AC21B-FAD8-45A0-8BA2-4591D6507D14}" cache="Slicer_Place" caption="Place" columnCount="2" level="1" style="SlicerStyleDark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19300434-E3EF-4012-A83E-BDEEAAF50926}" cache="Slicer_Products" caption="Products" columnCount="6" level="1" style="SlicerStyleDark2" rowHeight="257175"/>
  <slicer name="Place 3" xr10:uid="{2520DF98-E530-4EA4-9103-E69642C47597}" cache="Slicer_Place" caption="Place" columnCount="2" level="1" style="SlicerStyleDark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C8722064-D917-4420-A08F-3C2FA56BA0CB}" cache="Slicer_Products" caption="Products" columnCount="6" level="1" style="SlicerStyleDark2" rowHeight="257175"/>
  <slicer name="Place 4" xr10:uid="{D6B4808F-48D7-449D-BC3A-2731922ACC03}" cache="Slicer_Place" caption="Place" columnCount="2" level="1" style="SlicerStyleDark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70DDAE54-5DD2-41A8-90CA-59132346B758}" cache="Slicer_Products" caption="Products" columnCount="6" level="1" style="SlicerStyleDark2" rowHeight="257175"/>
  <slicer name="Place" xr10:uid="{E9D8E09A-18C4-4271-A9F4-C0E023BA051B}" cache="Slicer_Place" caption="Place" columnCount="2"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9D6409D-5D94-46F7-BFAF-DCDE7551EDA3}" sourceName="[Range].[Date]">
  <pivotTables>
    <pivotTable tabId="3" name="PivotTable1"/>
    <pivotTable tabId="3" name="PivotTable5"/>
    <pivotTable tabId="3" name="PivotTable10"/>
    <pivotTable tabId="3" name="PivotTable7"/>
    <pivotTable tabId="3" name="PivotTable8"/>
    <pivotTable tabId="3" name="PivotTable9"/>
    <pivotTable tabId="3" name="PivotTable17"/>
    <pivotTable tabId="3" name="PivotTable11"/>
    <pivotTable tabId="3" name="PivotTable4"/>
    <pivotTable tabId="3" name="PivotTable6"/>
  </pivotTables>
  <state minimalRefreshVersion="6" lastRefreshVersion="6" pivotCacheId="1737767983"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7567F45-EDF6-49B1-AB79-107CF9DB82CC}" cache="Timeline_Date" caption="Date" showSelectionLabel="0" showTimeLevel="0" showHorizontalScrollbar="0" level="2" selectionLevel="2" scrollPosition="2021-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D45250FD-FA7D-473D-9B16-336D3DC417F4}" cache="Timeline_Date" caption="Date" showSelectionLabel="0" showTimeLevel="0" showHorizontalScrollbar="0" level="2" selectionLevel="2" scrollPosition="2021-01-01T00:00:00" style="TimeSlicerStyleDark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7F7AD61-032F-468A-AD9A-64A5FA0BBD6E}" cache="Timeline_Date" caption="Date" showSelectionLabel="0" showTimeLevel="0" showHorizontalScrollbar="0" level="2" selectionLevel="2" scrollPosition="2021-01-01T00:00:00" style="TimeSlicerStyleDark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001A94ED-5EE3-4DCF-B9A5-D4395304F78F}" cache="Timeline_Date" caption="Date" showSelectionLabel="0" showTimeLevel="0" showHorizontalScrollbar="0" level="2" selectionLevel="2" scrollPosition="2021-01-01T00:00:00" style="TimeSlicerStyleDark2"/>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337DA60-40D5-4B57-8806-EC289D515EF2}" cache="Timeline_Date" caption="Date" showSelectionLabel="0" showTimeLevel="0" showHorizontalScrollbar="0" level="2" selectionLevel="2" scrollPosition="2021-01-01T00:00:00" style="TimeSlicerStyleDark2"/>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sheetPr codeName="Sheet1"/>
  <dimension ref="A1:G279"/>
  <sheetViews>
    <sheetView zoomScale="106" workbookViewId="0">
      <selection activeCell="A279" sqref="A279"/>
    </sheetView>
  </sheetViews>
  <sheetFormatPr defaultRowHeight="15" x14ac:dyDescent="0.25"/>
  <cols>
    <col min="1" max="1" width="16.42578125" bestFit="1" customWidth="1"/>
    <col min="2" max="2" width="16.140625" bestFit="1" customWidth="1"/>
    <col min="3" max="3" width="11.42578125" bestFit="1" customWidth="1"/>
    <col min="4" max="4" width="11.5703125" bestFit="1" customWidth="1"/>
    <col min="5" max="5" width="9.85546875" bestFit="1" customWidth="1"/>
    <col min="6" max="6" width="6.7109375" bestFit="1" customWidth="1"/>
    <col min="7" max="7" width="13.85546875" bestFit="1" customWidth="1"/>
  </cols>
  <sheetData>
    <row r="1" spans="1:7" ht="18.75" x14ac:dyDescent="0.3">
      <c r="A1" s="1" t="s">
        <v>0</v>
      </c>
      <c r="B1" s="2" t="s">
        <v>1</v>
      </c>
      <c r="C1" s="2" t="s">
        <v>2</v>
      </c>
      <c r="D1" s="2" t="s">
        <v>3</v>
      </c>
      <c r="E1" s="2" t="s">
        <v>4</v>
      </c>
      <c r="F1" s="2" t="s">
        <v>5</v>
      </c>
      <c r="G1" s="2" t="s">
        <v>6</v>
      </c>
    </row>
    <row r="2" spans="1:7" ht="15.75" x14ac:dyDescent="0.25">
      <c r="A2" s="3">
        <v>43831</v>
      </c>
      <c r="B2" s="4" t="s">
        <v>7</v>
      </c>
      <c r="C2" s="4" t="s">
        <v>8</v>
      </c>
      <c r="D2" s="4" t="s">
        <v>9</v>
      </c>
      <c r="E2" s="4">
        <v>499</v>
      </c>
      <c r="F2" s="4">
        <v>50</v>
      </c>
      <c r="G2" s="5">
        <f>E2*F2</f>
        <v>24950</v>
      </c>
    </row>
    <row r="3" spans="1:7" ht="15.75" x14ac:dyDescent="0.25">
      <c r="A3" s="6">
        <v>43835</v>
      </c>
      <c r="B3" s="7" t="s">
        <v>10</v>
      </c>
      <c r="C3" s="7" t="s">
        <v>8</v>
      </c>
      <c r="D3" s="7" t="s">
        <v>11</v>
      </c>
      <c r="E3" s="7">
        <v>5599</v>
      </c>
      <c r="F3" s="7">
        <v>33</v>
      </c>
      <c r="G3" s="8">
        <f t="shared" ref="G3:G66" si="0">E3*F3</f>
        <v>184767</v>
      </c>
    </row>
    <row r="4" spans="1:7" ht="15.75" x14ac:dyDescent="0.25">
      <c r="A4" s="3">
        <v>43839</v>
      </c>
      <c r="B4" s="4" t="s">
        <v>12</v>
      </c>
      <c r="C4" s="4" t="s">
        <v>13</v>
      </c>
      <c r="D4" s="4" t="s">
        <v>14</v>
      </c>
      <c r="E4" s="4">
        <v>1450</v>
      </c>
      <c r="F4" s="4">
        <v>44</v>
      </c>
      <c r="G4" s="5">
        <f t="shared" si="0"/>
        <v>63800</v>
      </c>
    </row>
    <row r="5" spans="1:7" ht="15.75" x14ac:dyDescent="0.25">
      <c r="A5" s="6">
        <v>43843</v>
      </c>
      <c r="B5" s="7" t="s">
        <v>15</v>
      </c>
      <c r="C5" s="7" t="s">
        <v>16</v>
      </c>
      <c r="D5" s="7" t="s">
        <v>9</v>
      </c>
      <c r="E5" s="7">
        <v>85000</v>
      </c>
      <c r="F5" s="7">
        <v>50</v>
      </c>
      <c r="G5" s="8">
        <f t="shared" si="0"/>
        <v>4250000</v>
      </c>
    </row>
    <row r="6" spans="1:7" ht="15.75" x14ac:dyDescent="0.25">
      <c r="A6" s="3">
        <v>43847</v>
      </c>
      <c r="B6" s="4" t="s">
        <v>15</v>
      </c>
      <c r="C6" s="4" t="s">
        <v>17</v>
      </c>
      <c r="D6" s="4" t="s">
        <v>18</v>
      </c>
      <c r="E6" s="4">
        <v>15000</v>
      </c>
      <c r="F6" s="4">
        <v>11</v>
      </c>
      <c r="G6" s="5">
        <f t="shared" si="0"/>
        <v>165000</v>
      </c>
    </row>
    <row r="7" spans="1:7" ht="15.75" x14ac:dyDescent="0.25">
      <c r="A7" s="6">
        <v>43851</v>
      </c>
      <c r="B7" s="7" t="s">
        <v>10</v>
      </c>
      <c r="C7" s="7" t="s">
        <v>8</v>
      </c>
      <c r="D7" s="7" t="s">
        <v>18</v>
      </c>
      <c r="E7" s="7">
        <v>2550</v>
      </c>
      <c r="F7" s="7">
        <v>48</v>
      </c>
      <c r="G7" s="8">
        <f t="shared" si="0"/>
        <v>122400</v>
      </c>
    </row>
    <row r="8" spans="1:7" ht="15.75" x14ac:dyDescent="0.25">
      <c r="A8" s="3">
        <v>43855</v>
      </c>
      <c r="B8" s="4" t="s">
        <v>19</v>
      </c>
      <c r="C8" s="4" t="s">
        <v>20</v>
      </c>
      <c r="D8" s="4" t="s">
        <v>14</v>
      </c>
      <c r="E8" s="4">
        <v>33000</v>
      </c>
      <c r="F8" s="4">
        <v>26</v>
      </c>
      <c r="G8" s="5">
        <f t="shared" si="0"/>
        <v>858000</v>
      </c>
    </row>
    <row r="9" spans="1:7" ht="15.75" x14ac:dyDescent="0.25">
      <c r="A9" s="6">
        <v>43859</v>
      </c>
      <c r="B9" s="7" t="s">
        <v>7</v>
      </c>
      <c r="C9" s="7" t="s">
        <v>16</v>
      </c>
      <c r="D9" s="7" t="s">
        <v>21</v>
      </c>
      <c r="E9" s="7">
        <v>86000</v>
      </c>
      <c r="F9" s="7">
        <v>39</v>
      </c>
      <c r="G9" s="8">
        <f t="shared" si="0"/>
        <v>3354000</v>
      </c>
    </row>
    <row r="10" spans="1:7" ht="15.75" x14ac:dyDescent="0.25">
      <c r="A10" s="3">
        <v>43863</v>
      </c>
      <c r="B10" s="4" t="s">
        <v>12</v>
      </c>
      <c r="C10" s="4" t="s">
        <v>22</v>
      </c>
      <c r="D10" s="4" t="s">
        <v>18</v>
      </c>
      <c r="E10" s="4">
        <v>990</v>
      </c>
      <c r="F10" s="4">
        <v>9</v>
      </c>
      <c r="G10" s="5">
        <f t="shared" si="0"/>
        <v>8910</v>
      </c>
    </row>
    <row r="11" spans="1:7" ht="15.75" x14ac:dyDescent="0.25">
      <c r="A11" s="6">
        <v>43867</v>
      </c>
      <c r="B11" s="7" t="s">
        <v>7</v>
      </c>
      <c r="C11" s="7" t="s">
        <v>8</v>
      </c>
      <c r="D11" s="7" t="s">
        <v>9</v>
      </c>
      <c r="E11" s="7">
        <v>5599</v>
      </c>
      <c r="F11" s="7">
        <v>41</v>
      </c>
      <c r="G11" s="8">
        <f t="shared" si="0"/>
        <v>229559</v>
      </c>
    </row>
    <row r="12" spans="1:7" ht="15.75" x14ac:dyDescent="0.25">
      <c r="A12" s="3">
        <v>43871</v>
      </c>
      <c r="B12" s="4" t="s">
        <v>19</v>
      </c>
      <c r="C12" s="4" t="s">
        <v>20</v>
      </c>
      <c r="D12" s="4" t="s">
        <v>14</v>
      </c>
      <c r="E12" s="4">
        <v>499</v>
      </c>
      <c r="F12" s="4">
        <v>39</v>
      </c>
      <c r="G12" s="5">
        <f t="shared" si="0"/>
        <v>19461</v>
      </c>
    </row>
    <row r="13" spans="1:7" ht="15.75" x14ac:dyDescent="0.25">
      <c r="A13" s="6">
        <v>43875</v>
      </c>
      <c r="B13" s="7" t="s">
        <v>10</v>
      </c>
      <c r="C13" s="7" t="s">
        <v>22</v>
      </c>
      <c r="D13" s="7" t="s">
        <v>9</v>
      </c>
      <c r="E13" s="7">
        <v>1999</v>
      </c>
      <c r="F13" s="7">
        <v>4</v>
      </c>
      <c r="G13" s="8">
        <f t="shared" si="0"/>
        <v>7996</v>
      </c>
    </row>
    <row r="14" spans="1:7" ht="15.75" x14ac:dyDescent="0.25">
      <c r="A14" s="3">
        <v>43879</v>
      </c>
      <c r="B14" s="4" t="s">
        <v>15</v>
      </c>
      <c r="C14" s="4" t="s">
        <v>16</v>
      </c>
      <c r="D14" s="4" t="s">
        <v>9</v>
      </c>
      <c r="E14" s="4">
        <v>63400</v>
      </c>
      <c r="F14" s="4">
        <v>8</v>
      </c>
      <c r="G14" s="5">
        <f t="shared" si="0"/>
        <v>507200</v>
      </c>
    </row>
    <row r="15" spans="1:7" ht="15.75" x14ac:dyDescent="0.25">
      <c r="A15" s="6">
        <v>43883</v>
      </c>
      <c r="B15" s="7" t="s">
        <v>23</v>
      </c>
      <c r="C15" s="7" t="s">
        <v>22</v>
      </c>
      <c r="D15" s="7" t="s">
        <v>18</v>
      </c>
      <c r="E15" s="7">
        <v>1499</v>
      </c>
      <c r="F15" s="7">
        <v>27</v>
      </c>
      <c r="G15" s="8">
        <f t="shared" si="0"/>
        <v>40473</v>
      </c>
    </row>
    <row r="16" spans="1:7" ht="15.75" x14ac:dyDescent="0.25">
      <c r="A16" s="3">
        <v>43887</v>
      </c>
      <c r="B16" s="4" t="s">
        <v>15</v>
      </c>
      <c r="C16" s="4" t="s">
        <v>17</v>
      </c>
      <c r="D16" s="4" t="s">
        <v>14</v>
      </c>
      <c r="E16" s="4">
        <v>120</v>
      </c>
      <c r="F16" s="4">
        <v>10</v>
      </c>
      <c r="G16" s="5">
        <f t="shared" si="0"/>
        <v>1200</v>
      </c>
    </row>
    <row r="17" spans="1:7" ht="15.75" x14ac:dyDescent="0.25">
      <c r="A17" s="6">
        <v>43891</v>
      </c>
      <c r="B17" s="7" t="s">
        <v>10</v>
      </c>
      <c r="C17" s="7" t="s">
        <v>20</v>
      </c>
      <c r="D17" s="7" t="s">
        <v>21</v>
      </c>
      <c r="E17" s="7">
        <v>11999</v>
      </c>
      <c r="F17" s="7">
        <v>17</v>
      </c>
      <c r="G17" s="8">
        <f t="shared" si="0"/>
        <v>203983</v>
      </c>
    </row>
    <row r="18" spans="1:7" ht="15.75" x14ac:dyDescent="0.25">
      <c r="A18" s="3">
        <v>43895</v>
      </c>
      <c r="B18" s="4" t="s">
        <v>12</v>
      </c>
      <c r="C18" s="4" t="s">
        <v>16</v>
      </c>
      <c r="D18" s="4" t="s">
        <v>11</v>
      </c>
      <c r="E18" s="4">
        <v>47500</v>
      </c>
      <c r="F18" s="4">
        <v>27</v>
      </c>
      <c r="G18" s="5">
        <f t="shared" si="0"/>
        <v>1282500</v>
      </c>
    </row>
    <row r="19" spans="1:7" ht="15.75" x14ac:dyDescent="0.25">
      <c r="A19" s="6">
        <v>43899</v>
      </c>
      <c r="B19" s="7" t="s">
        <v>19</v>
      </c>
      <c r="C19" s="7" t="s">
        <v>20</v>
      </c>
      <c r="D19" s="7" t="s">
        <v>11</v>
      </c>
      <c r="E19" s="7">
        <v>2999</v>
      </c>
      <c r="F19" s="7">
        <v>43</v>
      </c>
      <c r="G19" s="8">
        <f t="shared" si="0"/>
        <v>128957</v>
      </c>
    </row>
    <row r="20" spans="1:7" ht="15.75" x14ac:dyDescent="0.25">
      <c r="A20" s="3">
        <v>43903</v>
      </c>
      <c r="B20" s="4" t="s">
        <v>15</v>
      </c>
      <c r="C20" s="4" t="s">
        <v>17</v>
      </c>
      <c r="D20" s="4" t="s">
        <v>11</v>
      </c>
      <c r="E20" s="4">
        <v>8900</v>
      </c>
      <c r="F20" s="4">
        <v>9</v>
      </c>
      <c r="G20" s="5">
        <f t="shared" si="0"/>
        <v>80100</v>
      </c>
    </row>
    <row r="21" spans="1:7" ht="15.75" x14ac:dyDescent="0.25">
      <c r="A21" s="6">
        <v>43907</v>
      </c>
      <c r="B21" s="7" t="s">
        <v>10</v>
      </c>
      <c r="C21" s="7" t="s">
        <v>20</v>
      </c>
      <c r="D21" s="7" t="s">
        <v>9</v>
      </c>
      <c r="E21" s="7">
        <v>22000</v>
      </c>
      <c r="F21" s="7">
        <v>42</v>
      </c>
      <c r="G21" s="8">
        <f t="shared" si="0"/>
        <v>924000</v>
      </c>
    </row>
    <row r="22" spans="1:7" ht="15.75" x14ac:dyDescent="0.25">
      <c r="A22" s="3">
        <v>43911</v>
      </c>
      <c r="B22" s="4" t="s">
        <v>12</v>
      </c>
      <c r="C22" s="4" t="s">
        <v>13</v>
      </c>
      <c r="D22" s="4" t="s">
        <v>11</v>
      </c>
      <c r="E22" s="4">
        <v>1250</v>
      </c>
      <c r="F22" s="4">
        <v>6</v>
      </c>
      <c r="G22" s="5">
        <f t="shared" si="0"/>
        <v>7500</v>
      </c>
    </row>
    <row r="23" spans="1:7" ht="15.75" x14ac:dyDescent="0.25">
      <c r="A23" s="6">
        <v>43915</v>
      </c>
      <c r="B23" s="7" t="s">
        <v>15</v>
      </c>
      <c r="C23" s="7" t="s">
        <v>17</v>
      </c>
      <c r="D23" s="7" t="s">
        <v>18</v>
      </c>
      <c r="E23" s="7">
        <v>999</v>
      </c>
      <c r="F23" s="7">
        <v>28</v>
      </c>
      <c r="G23" s="8">
        <f t="shared" si="0"/>
        <v>27972</v>
      </c>
    </row>
    <row r="24" spans="1:7" ht="15.75" x14ac:dyDescent="0.25">
      <c r="A24" s="3">
        <v>43919</v>
      </c>
      <c r="B24" s="4" t="s">
        <v>19</v>
      </c>
      <c r="C24" s="4" t="s">
        <v>13</v>
      </c>
      <c r="D24" s="4" t="s">
        <v>21</v>
      </c>
      <c r="E24" s="4">
        <v>1450</v>
      </c>
      <c r="F24" s="4">
        <v>13</v>
      </c>
      <c r="G24" s="5">
        <f t="shared" si="0"/>
        <v>18850</v>
      </c>
    </row>
    <row r="25" spans="1:7" ht="15.75" x14ac:dyDescent="0.25">
      <c r="A25" s="6">
        <v>43923</v>
      </c>
      <c r="B25" s="7" t="s">
        <v>19</v>
      </c>
      <c r="C25" s="7" t="s">
        <v>13</v>
      </c>
      <c r="D25" s="7" t="s">
        <v>14</v>
      </c>
      <c r="E25" s="7">
        <v>23999</v>
      </c>
      <c r="F25" s="7">
        <v>8</v>
      </c>
      <c r="G25" s="8">
        <f t="shared" si="0"/>
        <v>191992</v>
      </c>
    </row>
    <row r="26" spans="1:7" ht="15.75" x14ac:dyDescent="0.25">
      <c r="A26" s="3">
        <v>43927</v>
      </c>
      <c r="B26" s="4" t="s">
        <v>10</v>
      </c>
      <c r="C26" s="4" t="s">
        <v>16</v>
      </c>
      <c r="D26" s="4" t="s">
        <v>21</v>
      </c>
      <c r="E26" s="4">
        <v>65200</v>
      </c>
      <c r="F26" s="4">
        <v>7</v>
      </c>
      <c r="G26" s="5">
        <f t="shared" si="0"/>
        <v>456400</v>
      </c>
    </row>
    <row r="27" spans="1:7" ht="15.75" x14ac:dyDescent="0.25">
      <c r="A27" s="6">
        <v>43931</v>
      </c>
      <c r="B27" s="7" t="s">
        <v>10</v>
      </c>
      <c r="C27" s="7" t="s">
        <v>22</v>
      </c>
      <c r="D27" s="7" t="s">
        <v>11</v>
      </c>
      <c r="E27" s="7">
        <v>699</v>
      </c>
      <c r="F27" s="7">
        <v>45</v>
      </c>
      <c r="G27" s="8">
        <f t="shared" si="0"/>
        <v>31455</v>
      </c>
    </row>
    <row r="28" spans="1:7" ht="15.75" x14ac:dyDescent="0.25">
      <c r="A28" s="3">
        <v>43935</v>
      </c>
      <c r="B28" s="4" t="s">
        <v>7</v>
      </c>
      <c r="C28" s="4" t="s">
        <v>8</v>
      </c>
      <c r="D28" s="4" t="s">
        <v>9</v>
      </c>
      <c r="E28" s="4">
        <v>2550</v>
      </c>
      <c r="F28" s="4">
        <v>22</v>
      </c>
      <c r="G28" s="5">
        <f t="shared" si="0"/>
        <v>56100</v>
      </c>
    </row>
    <row r="29" spans="1:7" ht="15.75" x14ac:dyDescent="0.25">
      <c r="A29" s="6">
        <v>43939</v>
      </c>
      <c r="B29" s="7" t="s">
        <v>12</v>
      </c>
      <c r="C29" s="7" t="s">
        <v>20</v>
      </c>
      <c r="D29" s="7" t="s">
        <v>21</v>
      </c>
      <c r="E29" s="7">
        <v>22000</v>
      </c>
      <c r="F29" s="7">
        <v>4</v>
      </c>
      <c r="G29" s="8">
        <f t="shared" si="0"/>
        <v>88000</v>
      </c>
    </row>
    <row r="30" spans="1:7" ht="15.75" x14ac:dyDescent="0.25">
      <c r="A30" s="3">
        <v>43943</v>
      </c>
      <c r="B30" s="4" t="s">
        <v>19</v>
      </c>
      <c r="C30" s="4" t="s">
        <v>16</v>
      </c>
      <c r="D30" s="4" t="s">
        <v>9</v>
      </c>
      <c r="E30" s="4">
        <v>22000</v>
      </c>
      <c r="F30" s="4">
        <v>10</v>
      </c>
      <c r="G30" s="5">
        <f t="shared" si="0"/>
        <v>220000</v>
      </c>
    </row>
    <row r="31" spans="1:7" ht="15.75" x14ac:dyDescent="0.25">
      <c r="A31" s="6">
        <v>43947</v>
      </c>
      <c r="B31" s="7" t="s">
        <v>23</v>
      </c>
      <c r="C31" s="7" t="s">
        <v>22</v>
      </c>
      <c r="D31" s="7" t="s">
        <v>18</v>
      </c>
      <c r="E31" s="7">
        <v>1499</v>
      </c>
      <c r="F31" s="7">
        <v>16</v>
      </c>
      <c r="G31" s="8">
        <f t="shared" si="0"/>
        <v>23984</v>
      </c>
    </row>
    <row r="32" spans="1:7" ht="15.75" x14ac:dyDescent="0.25">
      <c r="A32" s="3">
        <v>43951</v>
      </c>
      <c r="B32" s="4" t="s">
        <v>10</v>
      </c>
      <c r="C32" s="4" t="s">
        <v>17</v>
      </c>
      <c r="D32" s="4" t="s">
        <v>21</v>
      </c>
      <c r="E32" s="4">
        <v>120</v>
      </c>
      <c r="F32" s="4">
        <v>22</v>
      </c>
      <c r="G32" s="5">
        <f t="shared" si="0"/>
        <v>2640</v>
      </c>
    </row>
    <row r="33" spans="1:7" ht="15.75" x14ac:dyDescent="0.25">
      <c r="A33" s="6">
        <v>43955</v>
      </c>
      <c r="B33" s="7" t="s">
        <v>7</v>
      </c>
      <c r="C33" s="7" t="s">
        <v>8</v>
      </c>
      <c r="D33" s="7" t="s">
        <v>14</v>
      </c>
      <c r="E33" s="7">
        <v>1450</v>
      </c>
      <c r="F33" s="7">
        <v>20</v>
      </c>
      <c r="G33" s="8">
        <f t="shared" si="0"/>
        <v>29000</v>
      </c>
    </row>
    <row r="34" spans="1:7" ht="15.75" x14ac:dyDescent="0.25">
      <c r="A34" s="3">
        <v>43959</v>
      </c>
      <c r="B34" s="4" t="s">
        <v>23</v>
      </c>
      <c r="C34" s="4" t="s">
        <v>22</v>
      </c>
      <c r="D34" s="4" t="s">
        <v>18</v>
      </c>
      <c r="E34" s="4">
        <v>1999</v>
      </c>
      <c r="F34" s="4">
        <v>23</v>
      </c>
      <c r="G34" s="5">
        <f t="shared" si="0"/>
        <v>45977</v>
      </c>
    </row>
    <row r="35" spans="1:7" ht="15.75" x14ac:dyDescent="0.25">
      <c r="A35" s="6">
        <v>43963</v>
      </c>
      <c r="B35" s="7" t="s">
        <v>10</v>
      </c>
      <c r="C35" s="7" t="s">
        <v>8</v>
      </c>
      <c r="D35" s="7" t="s">
        <v>9</v>
      </c>
      <c r="E35" s="7">
        <v>800</v>
      </c>
      <c r="F35" s="7">
        <v>43</v>
      </c>
      <c r="G35" s="8">
        <f t="shared" si="0"/>
        <v>34400</v>
      </c>
    </row>
    <row r="36" spans="1:7" ht="15.75" x14ac:dyDescent="0.25">
      <c r="A36" s="3">
        <v>43967</v>
      </c>
      <c r="B36" s="4" t="s">
        <v>12</v>
      </c>
      <c r="C36" s="4" t="s">
        <v>17</v>
      </c>
      <c r="D36" s="4" t="s">
        <v>18</v>
      </c>
      <c r="E36" s="4">
        <v>18000</v>
      </c>
      <c r="F36" s="4">
        <v>41</v>
      </c>
      <c r="G36" s="5">
        <f t="shared" si="0"/>
        <v>738000</v>
      </c>
    </row>
    <row r="37" spans="1:7" ht="15.75" x14ac:dyDescent="0.25">
      <c r="A37" s="6">
        <v>43971</v>
      </c>
      <c r="B37" s="7" t="s">
        <v>7</v>
      </c>
      <c r="C37" s="7" t="s">
        <v>8</v>
      </c>
      <c r="D37" s="7" t="s">
        <v>11</v>
      </c>
      <c r="E37" s="7">
        <v>13999</v>
      </c>
      <c r="F37" s="7">
        <v>37</v>
      </c>
      <c r="G37" s="8">
        <f t="shared" si="0"/>
        <v>517963</v>
      </c>
    </row>
    <row r="38" spans="1:7" ht="15.75" x14ac:dyDescent="0.25">
      <c r="A38" s="3">
        <v>43975</v>
      </c>
      <c r="B38" s="4" t="s">
        <v>10</v>
      </c>
      <c r="C38" s="4" t="s">
        <v>20</v>
      </c>
      <c r="D38" s="4" t="s">
        <v>18</v>
      </c>
      <c r="E38" s="4">
        <v>22000</v>
      </c>
      <c r="F38" s="4">
        <v>45</v>
      </c>
      <c r="G38" s="5">
        <f t="shared" si="0"/>
        <v>990000</v>
      </c>
    </row>
    <row r="39" spans="1:7" ht="15.75" x14ac:dyDescent="0.25">
      <c r="A39" s="6">
        <v>43979</v>
      </c>
      <c r="B39" s="7" t="s">
        <v>19</v>
      </c>
      <c r="C39" s="7" t="s">
        <v>16</v>
      </c>
      <c r="D39" s="7" t="s">
        <v>9</v>
      </c>
      <c r="E39" s="7">
        <v>89999</v>
      </c>
      <c r="F39" s="7">
        <v>15</v>
      </c>
      <c r="G39" s="8">
        <f t="shared" si="0"/>
        <v>1349985</v>
      </c>
    </row>
    <row r="40" spans="1:7" ht="15.75" x14ac:dyDescent="0.25">
      <c r="A40" s="3">
        <v>43983</v>
      </c>
      <c r="B40" s="4" t="s">
        <v>7</v>
      </c>
      <c r="C40" s="4" t="s">
        <v>8</v>
      </c>
      <c r="D40" s="4" t="s">
        <v>14</v>
      </c>
      <c r="E40" s="4">
        <v>13999</v>
      </c>
      <c r="F40" s="4">
        <v>22</v>
      </c>
      <c r="G40" s="5">
        <f t="shared" si="0"/>
        <v>307978</v>
      </c>
    </row>
    <row r="41" spans="1:7" ht="15.75" x14ac:dyDescent="0.25">
      <c r="A41" s="6">
        <v>43987</v>
      </c>
      <c r="B41" s="7" t="s">
        <v>12</v>
      </c>
      <c r="C41" s="7" t="s">
        <v>22</v>
      </c>
      <c r="D41" s="7" t="s">
        <v>11</v>
      </c>
      <c r="E41" s="7">
        <v>2900</v>
      </c>
      <c r="F41" s="7">
        <v>20</v>
      </c>
      <c r="G41" s="8">
        <f t="shared" si="0"/>
        <v>58000</v>
      </c>
    </row>
    <row r="42" spans="1:7" ht="15.75" x14ac:dyDescent="0.25">
      <c r="A42" s="3">
        <v>43991</v>
      </c>
      <c r="B42" s="4" t="s">
        <v>10</v>
      </c>
      <c r="C42" s="4" t="s">
        <v>20</v>
      </c>
      <c r="D42" s="4" t="s">
        <v>18</v>
      </c>
      <c r="E42" s="4">
        <v>33000</v>
      </c>
      <c r="F42" s="4">
        <v>16</v>
      </c>
      <c r="G42" s="5">
        <f t="shared" si="0"/>
        <v>528000</v>
      </c>
    </row>
    <row r="43" spans="1:7" ht="15.75" x14ac:dyDescent="0.25">
      <c r="A43" s="6">
        <v>43995</v>
      </c>
      <c r="B43" s="7" t="s">
        <v>12</v>
      </c>
      <c r="C43" s="7" t="s">
        <v>20</v>
      </c>
      <c r="D43" s="7" t="s">
        <v>11</v>
      </c>
      <c r="E43" s="7">
        <v>22000</v>
      </c>
      <c r="F43" s="7">
        <v>17</v>
      </c>
      <c r="G43" s="8">
        <f t="shared" si="0"/>
        <v>374000</v>
      </c>
    </row>
    <row r="44" spans="1:7" ht="15.75" x14ac:dyDescent="0.25">
      <c r="A44" s="3">
        <v>43999</v>
      </c>
      <c r="B44" s="4" t="s">
        <v>23</v>
      </c>
      <c r="C44" s="4" t="s">
        <v>22</v>
      </c>
      <c r="D44" s="4" t="s">
        <v>11</v>
      </c>
      <c r="E44" s="4">
        <v>699</v>
      </c>
      <c r="F44" s="4">
        <v>50</v>
      </c>
      <c r="G44" s="5">
        <f t="shared" si="0"/>
        <v>34950</v>
      </c>
    </row>
    <row r="45" spans="1:7" ht="15.75" x14ac:dyDescent="0.25">
      <c r="A45" s="6">
        <v>44003</v>
      </c>
      <c r="B45" s="7" t="s">
        <v>19</v>
      </c>
      <c r="C45" s="7" t="s">
        <v>20</v>
      </c>
      <c r="D45" s="7" t="s">
        <v>14</v>
      </c>
      <c r="E45" s="7">
        <v>499</v>
      </c>
      <c r="F45" s="7">
        <v>4</v>
      </c>
      <c r="G45" s="8">
        <f t="shared" si="0"/>
        <v>1996</v>
      </c>
    </row>
    <row r="46" spans="1:7" ht="15.75" x14ac:dyDescent="0.25">
      <c r="A46" s="3">
        <v>44007</v>
      </c>
      <c r="B46" s="4" t="s">
        <v>10</v>
      </c>
      <c r="C46" s="4" t="s">
        <v>22</v>
      </c>
      <c r="D46" s="4" t="s">
        <v>18</v>
      </c>
      <c r="E46" s="4">
        <v>590</v>
      </c>
      <c r="F46" s="4">
        <v>43</v>
      </c>
      <c r="G46" s="5">
        <f t="shared" si="0"/>
        <v>25370</v>
      </c>
    </row>
    <row r="47" spans="1:7" ht="15.75" x14ac:dyDescent="0.25">
      <c r="A47" s="6">
        <v>44011</v>
      </c>
      <c r="B47" s="7" t="s">
        <v>23</v>
      </c>
      <c r="C47" s="7" t="s">
        <v>22</v>
      </c>
      <c r="D47" s="7" t="s">
        <v>11</v>
      </c>
      <c r="E47" s="7">
        <v>590</v>
      </c>
      <c r="F47" s="7">
        <v>42</v>
      </c>
      <c r="G47" s="8">
        <f t="shared" si="0"/>
        <v>24780</v>
      </c>
    </row>
    <row r="48" spans="1:7" ht="15.75" x14ac:dyDescent="0.25">
      <c r="A48" s="3">
        <v>44015</v>
      </c>
      <c r="B48" s="4" t="s">
        <v>10</v>
      </c>
      <c r="C48" s="4" t="s">
        <v>16</v>
      </c>
      <c r="D48" s="4" t="s">
        <v>9</v>
      </c>
      <c r="E48" s="4">
        <v>120</v>
      </c>
      <c r="F48" s="4">
        <v>9</v>
      </c>
      <c r="G48" s="5">
        <f t="shared" si="0"/>
        <v>1080</v>
      </c>
    </row>
    <row r="49" spans="1:7" ht="15.75" x14ac:dyDescent="0.25">
      <c r="A49" s="6">
        <v>44019</v>
      </c>
      <c r="B49" s="7" t="s">
        <v>19</v>
      </c>
      <c r="C49" s="7" t="s">
        <v>20</v>
      </c>
      <c r="D49" s="7" t="s">
        <v>21</v>
      </c>
      <c r="E49" s="7">
        <v>52000</v>
      </c>
      <c r="F49" s="7">
        <v>40</v>
      </c>
      <c r="G49" s="8">
        <f t="shared" si="0"/>
        <v>2080000</v>
      </c>
    </row>
    <row r="50" spans="1:7" ht="15.75" x14ac:dyDescent="0.25">
      <c r="A50" s="3">
        <v>44023</v>
      </c>
      <c r="B50" s="4" t="s">
        <v>12</v>
      </c>
      <c r="C50" s="4" t="s">
        <v>13</v>
      </c>
      <c r="D50" s="4" t="s">
        <v>18</v>
      </c>
      <c r="E50" s="4">
        <v>7999</v>
      </c>
      <c r="F50" s="4">
        <v>14</v>
      </c>
      <c r="G50" s="5">
        <f t="shared" si="0"/>
        <v>111986</v>
      </c>
    </row>
    <row r="51" spans="1:7" ht="15.75" x14ac:dyDescent="0.25">
      <c r="A51" s="6">
        <v>44027</v>
      </c>
      <c r="B51" s="7" t="s">
        <v>10</v>
      </c>
      <c r="C51" s="7" t="s">
        <v>13</v>
      </c>
      <c r="D51" s="7" t="s">
        <v>21</v>
      </c>
      <c r="E51" s="7">
        <v>550</v>
      </c>
      <c r="F51" s="7">
        <v>9</v>
      </c>
      <c r="G51" s="8">
        <f t="shared" si="0"/>
        <v>4950</v>
      </c>
    </row>
    <row r="52" spans="1:7" ht="15.75" x14ac:dyDescent="0.25">
      <c r="A52" s="3">
        <v>44031</v>
      </c>
      <c r="B52" s="4" t="s">
        <v>12</v>
      </c>
      <c r="C52" s="4" t="s">
        <v>16</v>
      </c>
      <c r="D52" s="4" t="s">
        <v>18</v>
      </c>
      <c r="E52" s="4">
        <v>79999</v>
      </c>
      <c r="F52" s="4">
        <v>10</v>
      </c>
      <c r="G52" s="5">
        <f t="shared" si="0"/>
        <v>799990</v>
      </c>
    </row>
    <row r="53" spans="1:7" ht="15.75" x14ac:dyDescent="0.25">
      <c r="A53" s="6">
        <v>44035</v>
      </c>
      <c r="B53" s="7" t="s">
        <v>23</v>
      </c>
      <c r="C53" s="7" t="s">
        <v>22</v>
      </c>
      <c r="D53" s="7" t="s">
        <v>18</v>
      </c>
      <c r="E53" s="7">
        <v>1999</v>
      </c>
      <c r="F53" s="7">
        <v>37</v>
      </c>
      <c r="G53" s="8">
        <f t="shared" si="0"/>
        <v>73963</v>
      </c>
    </row>
    <row r="54" spans="1:7" ht="15.75" x14ac:dyDescent="0.25">
      <c r="A54" s="3">
        <v>44039</v>
      </c>
      <c r="B54" s="4" t="s">
        <v>19</v>
      </c>
      <c r="C54" s="4" t="s">
        <v>20</v>
      </c>
      <c r="D54" s="4" t="s">
        <v>14</v>
      </c>
      <c r="E54" s="4">
        <v>89999</v>
      </c>
      <c r="F54" s="4">
        <v>29</v>
      </c>
      <c r="G54" s="5">
        <f t="shared" si="0"/>
        <v>2609971</v>
      </c>
    </row>
    <row r="55" spans="1:7" ht="15.75" x14ac:dyDescent="0.25">
      <c r="A55" s="6">
        <v>44043</v>
      </c>
      <c r="B55" s="7" t="s">
        <v>10</v>
      </c>
      <c r="C55" s="7" t="s">
        <v>16</v>
      </c>
      <c r="D55" s="7" t="s">
        <v>18</v>
      </c>
      <c r="E55" s="7">
        <v>78500</v>
      </c>
      <c r="F55" s="7">
        <v>44</v>
      </c>
      <c r="G55" s="8">
        <f t="shared" si="0"/>
        <v>3454000</v>
      </c>
    </row>
    <row r="56" spans="1:7" ht="15.75" x14ac:dyDescent="0.25">
      <c r="A56" s="3">
        <v>44047</v>
      </c>
      <c r="B56" s="4" t="s">
        <v>19</v>
      </c>
      <c r="C56" s="4" t="s">
        <v>20</v>
      </c>
      <c r="D56" s="4" t="s">
        <v>11</v>
      </c>
      <c r="E56" s="4">
        <v>3990</v>
      </c>
      <c r="F56" s="4">
        <v>31</v>
      </c>
      <c r="G56" s="5">
        <f t="shared" si="0"/>
        <v>123690</v>
      </c>
    </row>
    <row r="57" spans="1:7" ht="15.75" x14ac:dyDescent="0.25">
      <c r="A57" s="6">
        <v>44051</v>
      </c>
      <c r="B57" s="7" t="s">
        <v>12</v>
      </c>
      <c r="C57" s="7" t="s">
        <v>20</v>
      </c>
      <c r="D57" s="7" t="s">
        <v>18</v>
      </c>
      <c r="E57" s="7">
        <v>52000</v>
      </c>
      <c r="F57" s="7">
        <v>29</v>
      </c>
      <c r="G57" s="8">
        <f t="shared" si="0"/>
        <v>1508000</v>
      </c>
    </row>
    <row r="58" spans="1:7" ht="15.75" x14ac:dyDescent="0.25">
      <c r="A58" s="3">
        <v>44055</v>
      </c>
      <c r="B58" s="4" t="s">
        <v>7</v>
      </c>
      <c r="C58" s="4" t="s">
        <v>16</v>
      </c>
      <c r="D58" s="4" t="s">
        <v>18</v>
      </c>
      <c r="E58" s="4">
        <v>13999</v>
      </c>
      <c r="F58" s="4">
        <v>34</v>
      </c>
      <c r="G58" s="5">
        <f t="shared" si="0"/>
        <v>475966</v>
      </c>
    </row>
    <row r="59" spans="1:7" ht="15.75" x14ac:dyDescent="0.25">
      <c r="A59" s="6">
        <v>44059</v>
      </c>
      <c r="B59" s="7" t="s">
        <v>10</v>
      </c>
      <c r="C59" s="7" t="s">
        <v>17</v>
      </c>
      <c r="D59" s="7" t="s">
        <v>11</v>
      </c>
      <c r="E59" s="7">
        <v>120</v>
      </c>
      <c r="F59" s="7">
        <v>29</v>
      </c>
      <c r="G59" s="8">
        <f t="shared" si="0"/>
        <v>3480</v>
      </c>
    </row>
    <row r="60" spans="1:7" ht="15.75" x14ac:dyDescent="0.25">
      <c r="A60" s="3">
        <v>44063</v>
      </c>
      <c r="B60" s="4" t="s">
        <v>19</v>
      </c>
      <c r="C60" s="4" t="s">
        <v>13</v>
      </c>
      <c r="D60" s="4" t="s">
        <v>11</v>
      </c>
      <c r="E60" s="4">
        <v>23999</v>
      </c>
      <c r="F60" s="4">
        <v>25</v>
      </c>
      <c r="G60" s="5">
        <f t="shared" si="0"/>
        <v>599975</v>
      </c>
    </row>
    <row r="61" spans="1:7" ht="15.75" x14ac:dyDescent="0.25">
      <c r="A61" s="6">
        <v>44067</v>
      </c>
      <c r="B61" s="7" t="s">
        <v>19</v>
      </c>
      <c r="C61" s="7" t="s">
        <v>16</v>
      </c>
      <c r="D61" s="7" t="s">
        <v>18</v>
      </c>
      <c r="E61" s="7">
        <v>45000</v>
      </c>
      <c r="F61" s="7">
        <v>31</v>
      </c>
      <c r="G61" s="8">
        <f t="shared" si="0"/>
        <v>1395000</v>
      </c>
    </row>
    <row r="62" spans="1:7" ht="15.75" x14ac:dyDescent="0.25">
      <c r="A62" s="3">
        <v>44071</v>
      </c>
      <c r="B62" s="4" t="s">
        <v>10</v>
      </c>
      <c r="C62" s="4" t="s">
        <v>22</v>
      </c>
      <c r="D62" s="4" t="s">
        <v>11</v>
      </c>
      <c r="E62" s="4">
        <v>450</v>
      </c>
      <c r="F62" s="4">
        <v>16</v>
      </c>
      <c r="G62" s="5">
        <f t="shared" si="0"/>
        <v>7200</v>
      </c>
    </row>
    <row r="63" spans="1:7" ht="15.75" x14ac:dyDescent="0.25">
      <c r="A63" s="6">
        <v>44075</v>
      </c>
      <c r="B63" s="7" t="s">
        <v>15</v>
      </c>
      <c r="C63" s="7" t="s">
        <v>17</v>
      </c>
      <c r="D63" s="7" t="s">
        <v>18</v>
      </c>
      <c r="E63" s="7">
        <v>65000</v>
      </c>
      <c r="F63" s="7">
        <v>48</v>
      </c>
      <c r="G63" s="8">
        <f t="shared" si="0"/>
        <v>3120000</v>
      </c>
    </row>
    <row r="64" spans="1:7" ht="15.75" x14ac:dyDescent="0.25">
      <c r="A64" s="3">
        <v>44079</v>
      </c>
      <c r="B64" s="4" t="s">
        <v>12</v>
      </c>
      <c r="C64" s="4" t="s">
        <v>16</v>
      </c>
      <c r="D64" s="4" t="s">
        <v>21</v>
      </c>
      <c r="E64" s="4">
        <v>35600</v>
      </c>
      <c r="F64" s="4">
        <v>22</v>
      </c>
      <c r="G64" s="5">
        <f t="shared" si="0"/>
        <v>783200</v>
      </c>
    </row>
    <row r="65" spans="1:7" ht="15.75" x14ac:dyDescent="0.25">
      <c r="A65" s="6">
        <v>44083</v>
      </c>
      <c r="B65" s="7" t="s">
        <v>23</v>
      </c>
      <c r="C65" s="7" t="s">
        <v>22</v>
      </c>
      <c r="D65" s="7" t="s">
        <v>14</v>
      </c>
      <c r="E65" s="7">
        <v>699</v>
      </c>
      <c r="F65" s="7">
        <v>6</v>
      </c>
      <c r="G65" s="8">
        <f t="shared" si="0"/>
        <v>4194</v>
      </c>
    </row>
    <row r="66" spans="1:7" ht="15.75" x14ac:dyDescent="0.25">
      <c r="A66" s="3">
        <v>44087</v>
      </c>
      <c r="B66" s="4" t="s">
        <v>10</v>
      </c>
      <c r="C66" s="4" t="s">
        <v>22</v>
      </c>
      <c r="D66" s="4" t="s">
        <v>11</v>
      </c>
      <c r="E66" s="4">
        <v>990</v>
      </c>
      <c r="F66" s="4">
        <v>12</v>
      </c>
      <c r="G66" s="5">
        <f t="shared" si="0"/>
        <v>11880</v>
      </c>
    </row>
    <row r="67" spans="1:7" ht="15.75" x14ac:dyDescent="0.25">
      <c r="A67" s="6">
        <v>44091</v>
      </c>
      <c r="B67" s="7" t="s">
        <v>23</v>
      </c>
      <c r="C67" s="7" t="s">
        <v>16</v>
      </c>
      <c r="D67" s="7" t="s">
        <v>9</v>
      </c>
      <c r="E67" s="7">
        <v>450</v>
      </c>
      <c r="F67" s="7">
        <v>44</v>
      </c>
      <c r="G67" s="8">
        <f t="shared" ref="G67:G130" si="1">E67*F67</f>
        <v>19800</v>
      </c>
    </row>
    <row r="68" spans="1:7" ht="15.75" x14ac:dyDescent="0.25">
      <c r="A68" s="3">
        <v>44095</v>
      </c>
      <c r="B68" s="4" t="s">
        <v>23</v>
      </c>
      <c r="C68" s="4" t="s">
        <v>22</v>
      </c>
      <c r="D68" s="4" t="s">
        <v>14</v>
      </c>
      <c r="E68" s="4">
        <v>1499</v>
      </c>
      <c r="F68" s="4">
        <v>15</v>
      </c>
      <c r="G68" s="5">
        <f t="shared" si="1"/>
        <v>22485</v>
      </c>
    </row>
    <row r="69" spans="1:7" ht="15.75" x14ac:dyDescent="0.25">
      <c r="A69" s="6">
        <v>44099</v>
      </c>
      <c r="B69" s="7" t="s">
        <v>7</v>
      </c>
      <c r="C69" s="7" t="s">
        <v>8</v>
      </c>
      <c r="D69" s="7" t="s">
        <v>21</v>
      </c>
      <c r="E69" s="7">
        <v>499</v>
      </c>
      <c r="F69" s="7">
        <v>26</v>
      </c>
      <c r="G69" s="8">
        <f t="shared" si="1"/>
        <v>12974</v>
      </c>
    </row>
    <row r="70" spans="1:7" ht="15.75" x14ac:dyDescent="0.25">
      <c r="A70" s="3">
        <v>44103</v>
      </c>
      <c r="B70" s="4" t="s">
        <v>12</v>
      </c>
      <c r="C70" s="4" t="s">
        <v>16</v>
      </c>
      <c r="D70" s="4" t="s">
        <v>21</v>
      </c>
      <c r="E70" s="4">
        <v>44000</v>
      </c>
      <c r="F70" s="4">
        <v>16</v>
      </c>
      <c r="G70" s="5">
        <f t="shared" si="1"/>
        <v>704000</v>
      </c>
    </row>
    <row r="71" spans="1:7" ht="15.75" x14ac:dyDescent="0.25">
      <c r="A71" s="6">
        <v>44107</v>
      </c>
      <c r="B71" s="7" t="s">
        <v>7</v>
      </c>
      <c r="C71" s="7" t="s">
        <v>8</v>
      </c>
      <c r="D71" s="7" t="s">
        <v>18</v>
      </c>
      <c r="E71" s="7">
        <v>5599</v>
      </c>
      <c r="F71" s="7">
        <v>35</v>
      </c>
      <c r="G71" s="8">
        <f t="shared" si="1"/>
        <v>195965</v>
      </c>
    </row>
    <row r="72" spans="1:7" ht="15.75" x14ac:dyDescent="0.25">
      <c r="A72" s="3">
        <v>44111</v>
      </c>
      <c r="B72" s="4" t="s">
        <v>15</v>
      </c>
      <c r="C72" s="4" t="s">
        <v>16</v>
      </c>
      <c r="D72" s="4" t="s">
        <v>9</v>
      </c>
      <c r="E72" s="4">
        <v>54100</v>
      </c>
      <c r="F72" s="4">
        <v>36</v>
      </c>
      <c r="G72" s="5">
        <f t="shared" si="1"/>
        <v>1947600</v>
      </c>
    </row>
    <row r="73" spans="1:7" ht="15.75" x14ac:dyDescent="0.25">
      <c r="A73" s="6">
        <v>44115</v>
      </c>
      <c r="B73" s="7" t="s">
        <v>7</v>
      </c>
      <c r="C73" s="7" t="s">
        <v>8</v>
      </c>
      <c r="D73" s="7" t="s">
        <v>14</v>
      </c>
      <c r="E73" s="7">
        <v>2550</v>
      </c>
      <c r="F73" s="7">
        <v>20</v>
      </c>
      <c r="G73" s="8">
        <f t="shared" si="1"/>
        <v>51000</v>
      </c>
    </row>
    <row r="74" spans="1:7" ht="15.75" x14ac:dyDescent="0.25">
      <c r="A74" s="3">
        <v>44119</v>
      </c>
      <c r="B74" s="4" t="s">
        <v>10</v>
      </c>
      <c r="C74" s="4" t="s">
        <v>16</v>
      </c>
      <c r="D74" s="4" t="s">
        <v>14</v>
      </c>
      <c r="E74" s="4">
        <v>1450</v>
      </c>
      <c r="F74" s="4">
        <v>47</v>
      </c>
      <c r="G74" s="5">
        <f t="shared" si="1"/>
        <v>68150</v>
      </c>
    </row>
    <row r="75" spans="1:7" ht="15.75" x14ac:dyDescent="0.25">
      <c r="A75" s="6">
        <v>44123</v>
      </c>
      <c r="B75" s="7" t="s">
        <v>23</v>
      </c>
      <c r="C75" s="7" t="s">
        <v>22</v>
      </c>
      <c r="D75" s="7" t="s">
        <v>18</v>
      </c>
      <c r="E75" s="7">
        <v>2900</v>
      </c>
      <c r="F75" s="7">
        <v>6</v>
      </c>
      <c r="G75" s="8">
        <f t="shared" si="1"/>
        <v>17400</v>
      </c>
    </row>
    <row r="76" spans="1:7" ht="15.75" x14ac:dyDescent="0.25">
      <c r="A76" s="3">
        <v>44127</v>
      </c>
      <c r="B76" s="4" t="s">
        <v>15</v>
      </c>
      <c r="C76" s="4" t="s">
        <v>16</v>
      </c>
      <c r="D76" s="4" t="s">
        <v>21</v>
      </c>
      <c r="E76" s="4">
        <v>65200</v>
      </c>
      <c r="F76" s="4">
        <v>6</v>
      </c>
      <c r="G76" s="5">
        <f t="shared" si="1"/>
        <v>391200</v>
      </c>
    </row>
    <row r="77" spans="1:7" ht="15.75" x14ac:dyDescent="0.25">
      <c r="A77" s="6">
        <v>44131</v>
      </c>
      <c r="B77" s="7" t="s">
        <v>10</v>
      </c>
      <c r="C77" s="7" t="s">
        <v>20</v>
      </c>
      <c r="D77" s="7" t="s">
        <v>21</v>
      </c>
      <c r="E77" s="7">
        <v>52000</v>
      </c>
      <c r="F77" s="7">
        <v>41</v>
      </c>
      <c r="G77" s="8">
        <f t="shared" si="1"/>
        <v>2132000</v>
      </c>
    </row>
    <row r="78" spans="1:7" ht="15.75" x14ac:dyDescent="0.25">
      <c r="A78" s="3">
        <v>44135</v>
      </c>
      <c r="B78" s="4" t="s">
        <v>12</v>
      </c>
      <c r="C78" s="4" t="s">
        <v>16</v>
      </c>
      <c r="D78" s="4" t="s">
        <v>11</v>
      </c>
      <c r="E78" s="4">
        <v>59000</v>
      </c>
      <c r="F78" s="4">
        <v>29</v>
      </c>
      <c r="G78" s="5">
        <f t="shared" si="1"/>
        <v>1711000</v>
      </c>
    </row>
    <row r="79" spans="1:7" ht="15.75" x14ac:dyDescent="0.25">
      <c r="A79" s="6">
        <v>44139</v>
      </c>
      <c r="B79" s="7" t="s">
        <v>19</v>
      </c>
      <c r="C79" s="7" t="s">
        <v>13</v>
      </c>
      <c r="D79" s="7" t="s">
        <v>21</v>
      </c>
      <c r="E79" s="7">
        <v>7999</v>
      </c>
      <c r="F79" s="7">
        <v>31</v>
      </c>
      <c r="G79" s="8">
        <f t="shared" si="1"/>
        <v>247969</v>
      </c>
    </row>
    <row r="80" spans="1:7" ht="15.75" x14ac:dyDescent="0.25">
      <c r="A80" s="3">
        <v>44143</v>
      </c>
      <c r="B80" s="4" t="s">
        <v>10</v>
      </c>
      <c r="C80" s="4" t="s">
        <v>17</v>
      </c>
      <c r="D80" s="4" t="s">
        <v>11</v>
      </c>
      <c r="E80" s="4">
        <v>45000</v>
      </c>
      <c r="F80" s="4">
        <v>34</v>
      </c>
      <c r="G80" s="5">
        <f t="shared" si="1"/>
        <v>1530000</v>
      </c>
    </row>
    <row r="81" spans="1:7" ht="15.75" x14ac:dyDescent="0.25">
      <c r="A81" s="6">
        <v>44147</v>
      </c>
      <c r="B81" s="7" t="s">
        <v>23</v>
      </c>
      <c r="C81" s="7" t="s">
        <v>22</v>
      </c>
      <c r="D81" s="7" t="s">
        <v>9</v>
      </c>
      <c r="E81" s="7">
        <v>990</v>
      </c>
      <c r="F81" s="7">
        <v>43</v>
      </c>
      <c r="G81" s="8">
        <f t="shared" si="1"/>
        <v>42570</v>
      </c>
    </row>
    <row r="82" spans="1:7" ht="15.75" x14ac:dyDescent="0.25">
      <c r="A82" s="3">
        <v>44151</v>
      </c>
      <c r="B82" s="4" t="s">
        <v>19</v>
      </c>
      <c r="C82" s="4" t="s">
        <v>20</v>
      </c>
      <c r="D82" s="4" t="s">
        <v>9</v>
      </c>
      <c r="E82" s="4">
        <v>11999</v>
      </c>
      <c r="F82" s="4">
        <v>37</v>
      </c>
      <c r="G82" s="5">
        <f t="shared" si="1"/>
        <v>443963</v>
      </c>
    </row>
    <row r="83" spans="1:7" ht="15.75" x14ac:dyDescent="0.25">
      <c r="A83" s="6">
        <v>44155</v>
      </c>
      <c r="B83" s="7" t="s">
        <v>19</v>
      </c>
      <c r="C83" s="7" t="s">
        <v>13</v>
      </c>
      <c r="D83" s="7" t="s">
        <v>9</v>
      </c>
      <c r="E83" s="7">
        <v>960</v>
      </c>
      <c r="F83" s="7">
        <v>7</v>
      </c>
      <c r="G83" s="8">
        <f t="shared" si="1"/>
        <v>6720</v>
      </c>
    </row>
    <row r="84" spans="1:7" ht="15.75" x14ac:dyDescent="0.25">
      <c r="A84" s="3">
        <v>44159</v>
      </c>
      <c r="B84" s="4" t="s">
        <v>10</v>
      </c>
      <c r="C84" s="4" t="s">
        <v>8</v>
      </c>
      <c r="D84" s="4" t="s">
        <v>14</v>
      </c>
      <c r="E84" s="4">
        <v>1450</v>
      </c>
      <c r="F84" s="4">
        <v>19</v>
      </c>
      <c r="G84" s="5">
        <f t="shared" si="1"/>
        <v>27550</v>
      </c>
    </row>
    <row r="85" spans="1:7" ht="15.75" x14ac:dyDescent="0.25">
      <c r="A85" s="6">
        <v>44163</v>
      </c>
      <c r="B85" s="7" t="s">
        <v>12</v>
      </c>
      <c r="C85" s="7" t="s">
        <v>16</v>
      </c>
      <c r="D85" s="7" t="s">
        <v>11</v>
      </c>
      <c r="E85" s="7">
        <v>45000</v>
      </c>
      <c r="F85" s="7">
        <v>47</v>
      </c>
      <c r="G85" s="8">
        <f t="shared" si="1"/>
        <v>2115000</v>
      </c>
    </row>
    <row r="86" spans="1:7" ht="15.75" x14ac:dyDescent="0.25">
      <c r="A86" s="3">
        <v>44167</v>
      </c>
      <c r="B86" s="4" t="s">
        <v>10</v>
      </c>
      <c r="C86" s="4" t="s">
        <v>22</v>
      </c>
      <c r="D86" s="4" t="s">
        <v>11</v>
      </c>
      <c r="E86" s="4">
        <v>1499</v>
      </c>
      <c r="F86" s="4">
        <v>37</v>
      </c>
      <c r="G86" s="5">
        <f t="shared" si="1"/>
        <v>55463</v>
      </c>
    </row>
    <row r="87" spans="1:7" ht="15.75" x14ac:dyDescent="0.25">
      <c r="A87" s="6">
        <v>44171</v>
      </c>
      <c r="B87" s="7" t="s">
        <v>19</v>
      </c>
      <c r="C87" s="7" t="s">
        <v>20</v>
      </c>
      <c r="D87" s="7" t="s">
        <v>14</v>
      </c>
      <c r="E87" s="7">
        <v>79999</v>
      </c>
      <c r="F87" s="7">
        <v>4</v>
      </c>
      <c r="G87" s="8">
        <f t="shared" si="1"/>
        <v>319996</v>
      </c>
    </row>
    <row r="88" spans="1:7" ht="15.75" x14ac:dyDescent="0.25">
      <c r="A88" s="3">
        <v>44175</v>
      </c>
      <c r="B88" s="4" t="s">
        <v>15</v>
      </c>
      <c r="C88" s="4" t="s">
        <v>16</v>
      </c>
      <c r="D88" s="4" t="s">
        <v>21</v>
      </c>
      <c r="E88" s="4">
        <v>999</v>
      </c>
      <c r="F88" s="4">
        <v>45</v>
      </c>
      <c r="G88" s="5">
        <f t="shared" si="1"/>
        <v>44955</v>
      </c>
    </row>
    <row r="89" spans="1:7" ht="15.75" x14ac:dyDescent="0.25">
      <c r="A89" s="6">
        <v>44179</v>
      </c>
      <c r="B89" s="7" t="s">
        <v>10</v>
      </c>
      <c r="C89" s="7" t="s">
        <v>20</v>
      </c>
      <c r="D89" s="7" t="s">
        <v>9</v>
      </c>
      <c r="E89" s="7">
        <v>52000</v>
      </c>
      <c r="F89" s="7">
        <v>15</v>
      </c>
      <c r="G89" s="8">
        <f t="shared" si="1"/>
        <v>780000</v>
      </c>
    </row>
    <row r="90" spans="1:7" ht="15.75" x14ac:dyDescent="0.25">
      <c r="A90" s="3">
        <v>44183</v>
      </c>
      <c r="B90" s="4" t="s">
        <v>12</v>
      </c>
      <c r="C90" s="4" t="s">
        <v>16</v>
      </c>
      <c r="D90" s="4" t="s">
        <v>18</v>
      </c>
      <c r="E90" s="4">
        <v>52000</v>
      </c>
      <c r="F90" s="4">
        <v>39</v>
      </c>
      <c r="G90" s="5">
        <f t="shared" si="1"/>
        <v>2028000</v>
      </c>
    </row>
    <row r="91" spans="1:7" ht="15.75" x14ac:dyDescent="0.25">
      <c r="A91" s="6">
        <v>44187</v>
      </c>
      <c r="B91" s="7" t="s">
        <v>19</v>
      </c>
      <c r="C91" s="7" t="s">
        <v>13</v>
      </c>
      <c r="D91" s="7" t="s">
        <v>14</v>
      </c>
      <c r="E91" s="7">
        <v>960</v>
      </c>
      <c r="F91" s="7">
        <v>33</v>
      </c>
      <c r="G91" s="8">
        <f t="shared" si="1"/>
        <v>31680</v>
      </c>
    </row>
    <row r="92" spans="1:7" ht="15.75" x14ac:dyDescent="0.25">
      <c r="A92" s="3">
        <v>44191</v>
      </c>
      <c r="B92" s="4" t="s">
        <v>19</v>
      </c>
      <c r="C92" s="4" t="s">
        <v>16</v>
      </c>
      <c r="D92" s="4" t="s">
        <v>18</v>
      </c>
      <c r="E92" s="4">
        <v>19500</v>
      </c>
      <c r="F92" s="4">
        <v>45</v>
      </c>
      <c r="G92" s="5">
        <f t="shared" si="1"/>
        <v>877500</v>
      </c>
    </row>
    <row r="93" spans="1:7" ht="15.75" x14ac:dyDescent="0.25">
      <c r="A93" s="6">
        <v>44195</v>
      </c>
      <c r="B93" s="7" t="s">
        <v>19</v>
      </c>
      <c r="C93" s="7" t="s">
        <v>20</v>
      </c>
      <c r="D93" s="7" t="s">
        <v>18</v>
      </c>
      <c r="E93" s="7">
        <v>2999</v>
      </c>
      <c r="F93" s="7">
        <v>33</v>
      </c>
      <c r="G93" s="8">
        <f t="shared" si="1"/>
        <v>98967</v>
      </c>
    </row>
    <row r="94" spans="1:7" ht="15.75" x14ac:dyDescent="0.25">
      <c r="A94" s="3">
        <v>44199</v>
      </c>
      <c r="B94" s="4" t="s">
        <v>10</v>
      </c>
      <c r="C94" s="4" t="s">
        <v>13</v>
      </c>
      <c r="D94" s="4" t="s">
        <v>21</v>
      </c>
      <c r="E94" s="4">
        <v>1250</v>
      </c>
      <c r="F94" s="4">
        <v>14</v>
      </c>
      <c r="G94" s="5">
        <f t="shared" si="1"/>
        <v>17500</v>
      </c>
    </row>
    <row r="95" spans="1:7" ht="15.75" x14ac:dyDescent="0.25">
      <c r="A95" s="6">
        <v>44203</v>
      </c>
      <c r="B95" s="7" t="s">
        <v>10</v>
      </c>
      <c r="C95" s="7" t="s">
        <v>17</v>
      </c>
      <c r="D95" s="7" t="s">
        <v>9</v>
      </c>
      <c r="E95" s="7">
        <v>120</v>
      </c>
      <c r="F95" s="7">
        <v>41</v>
      </c>
      <c r="G95" s="8">
        <f t="shared" si="1"/>
        <v>4920</v>
      </c>
    </row>
    <row r="96" spans="1:7" ht="15.75" x14ac:dyDescent="0.25">
      <c r="A96" s="3">
        <v>44207</v>
      </c>
      <c r="B96" s="4" t="s">
        <v>12</v>
      </c>
      <c r="C96" s="4" t="s">
        <v>8</v>
      </c>
      <c r="D96" s="4" t="s">
        <v>18</v>
      </c>
      <c r="E96" s="4">
        <v>1450</v>
      </c>
      <c r="F96" s="4">
        <v>22</v>
      </c>
      <c r="G96" s="5">
        <f t="shared" si="1"/>
        <v>31900</v>
      </c>
    </row>
    <row r="97" spans="1:7" ht="15.75" x14ac:dyDescent="0.25">
      <c r="A97" s="6">
        <v>44211</v>
      </c>
      <c r="B97" s="7" t="s">
        <v>19</v>
      </c>
      <c r="C97" s="7" t="s">
        <v>20</v>
      </c>
      <c r="D97" s="7" t="s">
        <v>9</v>
      </c>
      <c r="E97" s="7">
        <v>89999</v>
      </c>
      <c r="F97" s="7">
        <v>15</v>
      </c>
      <c r="G97" s="8">
        <f t="shared" si="1"/>
        <v>1349985</v>
      </c>
    </row>
    <row r="98" spans="1:7" ht="15.75" x14ac:dyDescent="0.25">
      <c r="A98" s="3">
        <v>44215</v>
      </c>
      <c r="B98" s="4" t="s">
        <v>23</v>
      </c>
      <c r="C98" s="4" t="s">
        <v>16</v>
      </c>
      <c r="D98" s="4" t="s">
        <v>14</v>
      </c>
      <c r="E98" s="4">
        <v>1999</v>
      </c>
      <c r="F98" s="4">
        <v>48</v>
      </c>
      <c r="G98" s="5">
        <f t="shared" si="1"/>
        <v>95952</v>
      </c>
    </row>
    <row r="99" spans="1:7" ht="15.75" x14ac:dyDescent="0.25">
      <c r="A99" s="6">
        <v>44219</v>
      </c>
      <c r="B99" s="7" t="s">
        <v>23</v>
      </c>
      <c r="C99" s="7" t="s">
        <v>22</v>
      </c>
      <c r="D99" s="7" t="s">
        <v>18</v>
      </c>
      <c r="E99" s="7">
        <v>2900</v>
      </c>
      <c r="F99" s="7">
        <v>49</v>
      </c>
      <c r="G99" s="8">
        <f t="shared" si="1"/>
        <v>142100</v>
      </c>
    </row>
    <row r="100" spans="1:7" ht="15.75" x14ac:dyDescent="0.25">
      <c r="A100" s="3">
        <v>44223</v>
      </c>
      <c r="B100" s="4" t="s">
        <v>19</v>
      </c>
      <c r="C100" s="4" t="s">
        <v>20</v>
      </c>
      <c r="D100" s="4" t="s">
        <v>21</v>
      </c>
      <c r="E100" s="4">
        <v>700</v>
      </c>
      <c r="F100" s="4">
        <v>50</v>
      </c>
      <c r="G100" s="5">
        <f t="shared" si="1"/>
        <v>35000</v>
      </c>
    </row>
    <row r="101" spans="1:7" ht="15.75" x14ac:dyDescent="0.25">
      <c r="A101" s="6">
        <v>44227</v>
      </c>
      <c r="B101" s="7" t="s">
        <v>15</v>
      </c>
      <c r="C101" s="7" t="s">
        <v>17</v>
      </c>
      <c r="D101" s="7" t="s">
        <v>18</v>
      </c>
      <c r="E101" s="7">
        <v>200</v>
      </c>
      <c r="F101" s="7">
        <v>41</v>
      </c>
      <c r="G101" s="8">
        <f t="shared" si="1"/>
        <v>8200</v>
      </c>
    </row>
    <row r="102" spans="1:7" ht="15.75" x14ac:dyDescent="0.25">
      <c r="A102" s="3">
        <v>44231</v>
      </c>
      <c r="B102" s="4" t="s">
        <v>12</v>
      </c>
      <c r="C102" s="4" t="s">
        <v>16</v>
      </c>
      <c r="D102" s="4" t="s">
        <v>11</v>
      </c>
      <c r="E102" s="4">
        <v>49000</v>
      </c>
      <c r="F102" s="4">
        <v>29</v>
      </c>
      <c r="G102" s="5">
        <f t="shared" si="1"/>
        <v>1421000</v>
      </c>
    </row>
    <row r="103" spans="1:7" ht="15.75" x14ac:dyDescent="0.25">
      <c r="A103" s="6">
        <v>44235</v>
      </c>
      <c r="B103" s="7" t="s">
        <v>7</v>
      </c>
      <c r="C103" s="7" t="s">
        <v>8</v>
      </c>
      <c r="D103" s="7" t="s">
        <v>21</v>
      </c>
      <c r="E103" s="7">
        <v>5599</v>
      </c>
      <c r="F103" s="7">
        <v>36</v>
      </c>
      <c r="G103" s="8">
        <f t="shared" si="1"/>
        <v>201564</v>
      </c>
    </row>
    <row r="104" spans="1:7" ht="15.75" x14ac:dyDescent="0.25">
      <c r="A104" s="3">
        <v>44239</v>
      </c>
      <c r="B104" s="4" t="s">
        <v>15</v>
      </c>
      <c r="C104" s="4" t="s">
        <v>17</v>
      </c>
      <c r="D104" s="4" t="s">
        <v>18</v>
      </c>
      <c r="E104" s="4">
        <v>13500</v>
      </c>
      <c r="F104" s="4">
        <v>39</v>
      </c>
      <c r="G104" s="5">
        <f t="shared" si="1"/>
        <v>526500</v>
      </c>
    </row>
    <row r="105" spans="1:7" ht="15.75" x14ac:dyDescent="0.25">
      <c r="A105" s="6">
        <v>44243</v>
      </c>
      <c r="B105" s="7" t="s">
        <v>12</v>
      </c>
      <c r="C105" s="7" t="s">
        <v>20</v>
      </c>
      <c r="D105" s="7" t="s">
        <v>18</v>
      </c>
      <c r="E105" s="7">
        <v>79999</v>
      </c>
      <c r="F105" s="7">
        <v>9</v>
      </c>
      <c r="G105" s="8">
        <f t="shared" si="1"/>
        <v>719991</v>
      </c>
    </row>
    <row r="106" spans="1:7" ht="15.75" x14ac:dyDescent="0.25">
      <c r="A106" s="3">
        <v>44247</v>
      </c>
      <c r="B106" s="4" t="s">
        <v>19</v>
      </c>
      <c r="C106" s="4" t="s">
        <v>16</v>
      </c>
      <c r="D106" s="4" t="s">
        <v>14</v>
      </c>
      <c r="E106" s="4">
        <v>75200</v>
      </c>
      <c r="F106" s="4">
        <v>38</v>
      </c>
      <c r="G106" s="5">
        <f t="shared" si="1"/>
        <v>2857600</v>
      </c>
    </row>
    <row r="107" spans="1:7" ht="15.75" x14ac:dyDescent="0.25">
      <c r="A107" s="6">
        <v>44251</v>
      </c>
      <c r="B107" s="7" t="s">
        <v>19</v>
      </c>
      <c r="C107" s="7" t="s">
        <v>13</v>
      </c>
      <c r="D107" s="7" t="s">
        <v>9</v>
      </c>
      <c r="E107" s="7">
        <v>550</v>
      </c>
      <c r="F107" s="7">
        <v>25</v>
      </c>
      <c r="G107" s="8">
        <f t="shared" si="1"/>
        <v>13750</v>
      </c>
    </row>
    <row r="108" spans="1:7" ht="15.75" x14ac:dyDescent="0.25">
      <c r="A108" s="3">
        <v>44255</v>
      </c>
      <c r="B108" s="4" t="s">
        <v>7</v>
      </c>
      <c r="C108" s="4" t="s">
        <v>8</v>
      </c>
      <c r="D108" s="4" t="s">
        <v>9</v>
      </c>
      <c r="E108" s="4">
        <v>499</v>
      </c>
      <c r="F108" s="4">
        <v>50</v>
      </c>
      <c r="G108" s="5">
        <f t="shared" si="1"/>
        <v>24950</v>
      </c>
    </row>
    <row r="109" spans="1:7" ht="15.75" x14ac:dyDescent="0.25">
      <c r="A109" s="6">
        <v>44259</v>
      </c>
      <c r="B109" s="7" t="s">
        <v>7</v>
      </c>
      <c r="C109" s="7" t="s">
        <v>8</v>
      </c>
      <c r="D109" s="7" t="s">
        <v>11</v>
      </c>
      <c r="E109" s="7">
        <v>5599</v>
      </c>
      <c r="F109" s="7">
        <v>33</v>
      </c>
      <c r="G109" s="8">
        <f t="shared" si="1"/>
        <v>184767</v>
      </c>
    </row>
    <row r="110" spans="1:7" ht="15.75" x14ac:dyDescent="0.25">
      <c r="A110" s="3">
        <v>44263</v>
      </c>
      <c r="B110" s="4" t="s">
        <v>12</v>
      </c>
      <c r="C110" s="4" t="s">
        <v>13</v>
      </c>
      <c r="D110" s="4" t="s">
        <v>14</v>
      </c>
      <c r="E110" s="4">
        <v>1450</v>
      </c>
      <c r="F110" s="4">
        <v>44</v>
      </c>
      <c r="G110" s="5">
        <f t="shared" si="1"/>
        <v>63800</v>
      </c>
    </row>
    <row r="111" spans="1:7" ht="15.75" x14ac:dyDescent="0.25">
      <c r="A111" s="6">
        <v>44267</v>
      </c>
      <c r="B111" s="7" t="s">
        <v>15</v>
      </c>
      <c r="C111" s="7" t="s">
        <v>17</v>
      </c>
      <c r="D111" s="7" t="s">
        <v>9</v>
      </c>
      <c r="E111" s="7">
        <v>999</v>
      </c>
      <c r="F111" s="7">
        <v>31</v>
      </c>
      <c r="G111" s="8">
        <f t="shared" si="1"/>
        <v>30969</v>
      </c>
    </row>
    <row r="112" spans="1:7" ht="15.75" x14ac:dyDescent="0.25">
      <c r="A112" s="3">
        <v>44271</v>
      </c>
      <c r="B112" s="4" t="s">
        <v>15</v>
      </c>
      <c r="C112" s="4" t="s">
        <v>17</v>
      </c>
      <c r="D112" s="4" t="s">
        <v>18</v>
      </c>
      <c r="E112" s="4">
        <v>100</v>
      </c>
      <c r="F112" s="4">
        <v>11</v>
      </c>
      <c r="G112" s="5">
        <f t="shared" si="1"/>
        <v>1100</v>
      </c>
    </row>
    <row r="113" spans="1:7" ht="15.75" x14ac:dyDescent="0.25">
      <c r="A113" s="6">
        <v>44275</v>
      </c>
      <c r="B113" s="7" t="s">
        <v>12</v>
      </c>
      <c r="C113" s="7" t="s">
        <v>8</v>
      </c>
      <c r="D113" s="7" t="s">
        <v>18</v>
      </c>
      <c r="E113" s="7">
        <v>2550</v>
      </c>
      <c r="F113" s="7">
        <v>48</v>
      </c>
      <c r="G113" s="8">
        <f t="shared" si="1"/>
        <v>122400</v>
      </c>
    </row>
    <row r="114" spans="1:7" ht="15.75" x14ac:dyDescent="0.25">
      <c r="A114" s="3">
        <v>44279</v>
      </c>
      <c r="B114" s="4" t="s">
        <v>19</v>
      </c>
      <c r="C114" s="4" t="s">
        <v>20</v>
      </c>
      <c r="D114" s="4" t="s">
        <v>18</v>
      </c>
      <c r="E114" s="4">
        <v>33000</v>
      </c>
      <c r="F114" s="4">
        <v>26</v>
      </c>
      <c r="G114" s="5">
        <f t="shared" si="1"/>
        <v>858000</v>
      </c>
    </row>
    <row r="115" spans="1:7" ht="15.75" x14ac:dyDescent="0.25">
      <c r="A115" s="6">
        <v>44283</v>
      </c>
      <c r="B115" s="7" t="s">
        <v>10</v>
      </c>
      <c r="C115" s="7" t="s">
        <v>8</v>
      </c>
      <c r="D115" s="7" t="s">
        <v>14</v>
      </c>
      <c r="E115" s="7">
        <v>800</v>
      </c>
      <c r="F115" s="7">
        <v>39</v>
      </c>
      <c r="G115" s="8">
        <f t="shared" si="1"/>
        <v>31200</v>
      </c>
    </row>
    <row r="116" spans="1:7" ht="15.75" x14ac:dyDescent="0.25">
      <c r="A116" s="3">
        <v>44287</v>
      </c>
      <c r="B116" s="4" t="s">
        <v>23</v>
      </c>
      <c r="C116" s="4" t="s">
        <v>22</v>
      </c>
      <c r="D116" s="4" t="s">
        <v>14</v>
      </c>
      <c r="E116" s="4">
        <v>990</v>
      </c>
      <c r="F116" s="4">
        <v>9</v>
      </c>
      <c r="G116" s="5">
        <f t="shared" si="1"/>
        <v>8910</v>
      </c>
    </row>
    <row r="117" spans="1:7" ht="15.75" x14ac:dyDescent="0.25">
      <c r="A117" s="6">
        <v>44291</v>
      </c>
      <c r="B117" s="7" t="s">
        <v>7</v>
      </c>
      <c r="C117" s="7" t="s">
        <v>8</v>
      </c>
      <c r="D117" s="7" t="s">
        <v>9</v>
      </c>
      <c r="E117" s="7">
        <v>5599</v>
      </c>
      <c r="F117" s="7">
        <v>41</v>
      </c>
      <c r="G117" s="8">
        <f t="shared" si="1"/>
        <v>229559</v>
      </c>
    </row>
    <row r="118" spans="1:7" ht="15.75" x14ac:dyDescent="0.25">
      <c r="A118" s="3">
        <v>44295</v>
      </c>
      <c r="B118" s="4" t="s">
        <v>19</v>
      </c>
      <c r="C118" s="4" t="s">
        <v>20</v>
      </c>
      <c r="D118" s="4" t="s">
        <v>9</v>
      </c>
      <c r="E118" s="4">
        <v>499</v>
      </c>
      <c r="F118" s="4">
        <v>39</v>
      </c>
      <c r="G118" s="5">
        <f t="shared" si="1"/>
        <v>19461</v>
      </c>
    </row>
    <row r="119" spans="1:7" ht="15.75" x14ac:dyDescent="0.25">
      <c r="A119" s="6">
        <v>44299</v>
      </c>
      <c r="B119" s="7" t="s">
        <v>23</v>
      </c>
      <c r="C119" s="7" t="s">
        <v>22</v>
      </c>
      <c r="D119" s="7" t="s">
        <v>9</v>
      </c>
      <c r="E119" s="7">
        <v>1999</v>
      </c>
      <c r="F119" s="7">
        <v>4</v>
      </c>
      <c r="G119" s="8">
        <f t="shared" si="1"/>
        <v>7996</v>
      </c>
    </row>
    <row r="120" spans="1:7" ht="15.75" x14ac:dyDescent="0.25">
      <c r="A120" s="3">
        <v>44303</v>
      </c>
      <c r="B120" s="4" t="s">
        <v>12</v>
      </c>
      <c r="C120" s="4" t="s">
        <v>17</v>
      </c>
      <c r="D120" s="4" t="s">
        <v>9</v>
      </c>
      <c r="E120" s="4">
        <v>200</v>
      </c>
      <c r="F120" s="4">
        <v>8</v>
      </c>
      <c r="G120" s="5">
        <f t="shared" si="1"/>
        <v>1600</v>
      </c>
    </row>
    <row r="121" spans="1:7" ht="15.75" x14ac:dyDescent="0.25">
      <c r="A121" s="6">
        <v>44307</v>
      </c>
      <c r="B121" s="7" t="s">
        <v>23</v>
      </c>
      <c r="C121" s="7" t="s">
        <v>22</v>
      </c>
      <c r="D121" s="7" t="s">
        <v>14</v>
      </c>
      <c r="E121" s="7">
        <v>1499</v>
      </c>
      <c r="F121" s="7">
        <v>27</v>
      </c>
      <c r="G121" s="8">
        <f t="shared" si="1"/>
        <v>40473</v>
      </c>
    </row>
    <row r="122" spans="1:7" ht="15.75" x14ac:dyDescent="0.25">
      <c r="A122" s="3">
        <v>44311</v>
      </c>
      <c r="B122" s="4" t="s">
        <v>15</v>
      </c>
      <c r="C122" s="4" t="s">
        <v>17</v>
      </c>
      <c r="D122" s="4" t="s">
        <v>21</v>
      </c>
      <c r="E122" s="4">
        <v>120</v>
      </c>
      <c r="F122" s="4">
        <v>10</v>
      </c>
      <c r="G122" s="5">
        <f t="shared" si="1"/>
        <v>1200</v>
      </c>
    </row>
    <row r="123" spans="1:7" ht="15.75" x14ac:dyDescent="0.25">
      <c r="A123" s="6">
        <v>44315</v>
      </c>
      <c r="B123" s="7" t="s">
        <v>10</v>
      </c>
      <c r="C123" s="7" t="s">
        <v>20</v>
      </c>
      <c r="D123" s="7" t="s">
        <v>21</v>
      </c>
      <c r="E123" s="7">
        <v>11999</v>
      </c>
      <c r="F123" s="7">
        <v>17</v>
      </c>
      <c r="G123" s="8">
        <f t="shared" si="1"/>
        <v>203983</v>
      </c>
    </row>
    <row r="124" spans="1:7" ht="15.75" x14ac:dyDescent="0.25">
      <c r="A124" s="3">
        <v>44319</v>
      </c>
      <c r="B124" s="4" t="s">
        <v>10</v>
      </c>
      <c r="C124" s="4" t="s">
        <v>20</v>
      </c>
      <c r="D124" s="4" t="s">
        <v>11</v>
      </c>
      <c r="E124" s="4">
        <v>999</v>
      </c>
      <c r="F124" s="4">
        <v>27</v>
      </c>
      <c r="G124" s="5">
        <f t="shared" si="1"/>
        <v>26973</v>
      </c>
    </row>
    <row r="125" spans="1:7" ht="15.75" x14ac:dyDescent="0.25">
      <c r="A125" s="6">
        <v>44323</v>
      </c>
      <c r="B125" s="7" t="s">
        <v>12</v>
      </c>
      <c r="C125" s="7" t="s">
        <v>20</v>
      </c>
      <c r="D125" s="7" t="s">
        <v>14</v>
      </c>
      <c r="E125" s="7">
        <v>2999</v>
      </c>
      <c r="F125" s="7">
        <v>43</v>
      </c>
      <c r="G125" s="8">
        <f t="shared" si="1"/>
        <v>128957</v>
      </c>
    </row>
    <row r="126" spans="1:7" ht="15.75" x14ac:dyDescent="0.25">
      <c r="A126" s="3">
        <v>44327</v>
      </c>
      <c r="B126" s="4" t="s">
        <v>15</v>
      </c>
      <c r="C126" s="4" t="s">
        <v>16</v>
      </c>
      <c r="D126" s="4" t="s">
        <v>11</v>
      </c>
      <c r="E126" s="4">
        <v>47800</v>
      </c>
      <c r="F126" s="4">
        <v>9</v>
      </c>
      <c r="G126" s="5">
        <f t="shared" si="1"/>
        <v>430200</v>
      </c>
    </row>
    <row r="127" spans="1:7" ht="15.75" x14ac:dyDescent="0.25">
      <c r="A127" s="6">
        <v>44331</v>
      </c>
      <c r="B127" s="7" t="s">
        <v>19</v>
      </c>
      <c r="C127" s="7" t="s">
        <v>16</v>
      </c>
      <c r="D127" s="7" t="s">
        <v>9</v>
      </c>
      <c r="E127" s="7">
        <v>22000</v>
      </c>
      <c r="F127" s="7">
        <v>42</v>
      </c>
      <c r="G127" s="8">
        <f t="shared" si="1"/>
        <v>924000</v>
      </c>
    </row>
    <row r="128" spans="1:7" ht="15.75" x14ac:dyDescent="0.25">
      <c r="A128" s="3">
        <v>44335</v>
      </c>
      <c r="B128" s="4" t="s">
        <v>19</v>
      </c>
      <c r="C128" s="4" t="s">
        <v>13</v>
      </c>
      <c r="D128" s="4" t="s">
        <v>11</v>
      </c>
      <c r="E128" s="4">
        <v>1250</v>
      </c>
      <c r="F128" s="4">
        <v>6</v>
      </c>
      <c r="G128" s="5">
        <f t="shared" si="1"/>
        <v>7500</v>
      </c>
    </row>
    <row r="129" spans="1:7" ht="15.75" x14ac:dyDescent="0.25">
      <c r="A129" s="6">
        <v>44339</v>
      </c>
      <c r="B129" s="7" t="s">
        <v>15</v>
      </c>
      <c r="C129" s="7" t="s">
        <v>17</v>
      </c>
      <c r="D129" s="7" t="s">
        <v>14</v>
      </c>
      <c r="E129" s="7">
        <v>999</v>
      </c>
      <c r="F129" s="7">
        <v>28</v>
      </c>
      <c r="G129" s="8">
        <f t="shared" si="1"/>
        <v>27972</v>
      </c>
    </row>
    <row r="130" spans="1:7" ht="15.75" x14ac:dyDescent="0.25">
      <c r="A130" s="3">
        <v>44343</v>
      </c>
      <c r="B130" s="4" t="s">
        <v>19</v>
      </c>
      <c r="C130" s="4" t="s">
        <v>13</v>
      </c>
      <c r="D130" s="4" t="s">
        <v>21</v>
      </c>
      <c r="E130" s="4">
        <v>1450</v>
      </c>
      <c r="F130" s="4">
        <v>13</v>
      </c>
      <c r="G130" s="5">
        <f t="shared" si="1"/>
        <v>18850</v>
      </c>
    </row>
    <row r="131" spans="1:7" ht="15.75" x14ac:dyDescent="0.25">
      <c r="A131" s="6">
        <v>44347</v>
      </c>
      <c r="B131" s="7" t="s">
        <v>19</v>
      </c>
      <c r="C131" s="7" t="s">
        <v>13</v>
      </c>
      <c r="D131" s="7" t="s">
        <v>21</v>
      </c>
      <c r="E131" s="7">
        <v>23999</v>
      </c>
      <c r="F131" s="7">
        <v>8</v>
      </c>
      <c r="G131" s="8">
        <f t="shared" ref="G131:G194" si="2">E131*F131</f>
        <v>191992</v>
      </c>
    </row>
    <row r="132" spans="1:7" ht="15.75" x14ac:dyDescent="0.25">
      <c r="A132" s="3">
        <v>44351</v>
      </c>
      <c r="B132" s="4" t="s">
        <v>10</v>
      </c>
      <c r="C132" s="4" t="s">
        <v>16</v>
      </c>
      <c r="D132" s="4" t="s">
        <v>21</v>
      </c>
      <c r="E132" s="4">
        <v>92000</v>
      </c>
      <c r="F132" s="4">
        <v>7</v>
      </c>
      <c r="G132" s="5">
        <f t="shared" si="2"/>
        <v>644000</v>
      </c>
    </row>
    <row r="133" spans="1:7" ht="15.75" x14ac:dyDescent="0.25">
      <c r="A133" s="6">
        <v>44355</v>
      </c>
      <c r="B133" s="7" t="s">
        <v>23</v>
      </c>
      <c r="C133" s="7" t="s">
        <v>22</v>
      </c>
      <c r="D133" s="7" t="s">
        <v>14</v>
      </c>
      <c r="E133" s="7">
        <v>699</v>
      </c>
      <c r="F133" s="7">
        <v>45</v>
      </c>
      <c r="G133" s="8">
        <f t="shared" si="2"/>
        <v>31455</v>
      </c>
    </row>
    <row r="134" spans="1:7" ht="15.75" x14ac:dyDescent="0.25">
      <c r="A134" s="3">
        <v>44359</v>
      </c>
      <c r="B134" s="4" t="s">
        <v>7</v>
      </c>
      <c r="C134" s="4" t="s">
        <v>8</v>
      </c>
      <c r="D134" s="4" t="s">
        <v>9</v>
      </c>
      <c r="E134" s="4">
        <v>2550</v>
      </c>
      <c r="F134" s="4">
        <v>22</v>
      </c>
      <c r="G134" s="5">
        <f t="shared" si="2"/>
        <v>56100</v>
      </c>
    </row>
    <row r="135" spans="1:7" ht="15.75" x14ac:dyDescent="0.25">
      <c r="A135" s="6">
        <v>44363</v>
      </c>
      <c r="B135" s="7" t="s">
        <v>12</v>
      </c>
      <c r="C135" s="7" t="s">
        <v>20</v>
      </c>
      <c r="D135" s="7" t="s">
        <v>21</v>
      </c>
      <c r="E135" s="7">
        <v>22000</v>
      </c>
      <c r="F135" s="7">
        <v>4</v>
      </c>
      <c r="G135" s="8">
        <f t="shared" si="2"/>
        <v>88000</v>
      </c>
    </row>
    <row r="136" spans="1:7" ht="15.75" x14ac:dyDescent="0.25">
      <c r="A136" s="3">
        <v>44367</v>
      </c>
      <c r="B136" s="4" t="s">
        <v>19</v>
      </c>
      <c r="C136" s="4" t="s">
        <v>20</v>
      </c>
      <c r="D136" s="4" t="s">
        <v>9</v>
      </c>
      <c r="E136" s="4">
        <v>22000</v>
      </c>
      <c r="F136" s="4">
        <v>10</v>
      </c>
      <c r="G136" s="5">
        <f t="shared" si="2"/>
        <v>220000</v>
      </c>
    </row>
    <row r="137" spans="1:7" ht="15.75" x14ac:dyDescent="0.25">
      <c r="A137" s="6">
        <v>44371</v>
      </c>
      <c r="B137" s="7" t="s">
        <v>10</v>
      </c>
      <c r="C137" s="7" t="s">
        <v>22</v>
      </c>
      <c r="D137" s="7" t="s">
        <v>14</v>
      </c>
      <c r="E137" s="7">
        <v>1499</v>
      </c>
      <c r="F137" s="7">
        <v>16</v>
      </c>
      <c r="G137" s="8">
        <f t="shared" si="2"/>
        <v>23984</v>
      </c>
    </row>
    <row r="138" spans="1:7" ht="15.75" x14ac:dyDescent="0.25">
      <c r="A138" s="3">
        <v>44375</v>
      </c>
      <c r="B138" s="4" t="s">
        <v>15</v>
      </c>
      <c r="C138" s="4" t="s">
        <v>17</v>
      </c>
      <c r="D138" s="4" t="s">
        <v>21</v>
      </c>
      <c r="E138" s="4">
        <v>120</v>
      </c>
      <c r="F138" s="4">
        <v>22</v>
      </c>
      <c r="G138" s="5">
        <f t="shared" si="2"/>
        <v>2640</v>
      </c>
    </row>
    <row r="139" spans="1:7" ht="15.75" x14ac:dyDescent="0.25">
      <c r="A139" s="6">
        <v>44379</v>
      </c>
      <c r="B139" s="7" t="s">
        <v>7</v>
      </c>
      <c r="C139" s="7" t="s">
        <v>8</v>
      </c>
      <c r="D139" s="7" t="s">
        <v>11</v>
      </c>
      <c r="E139" s="7">
        <v>1450</v>
      </c>
      <c r="F139" s="7">
        <v>20</v>
      </c>
      <c r="G139" s="8">
        <f t="shared" si="2"/>
        <v>29000</v>
      </c>
    </row>
    <row r="140" spans="1:7" ht="15.75" x14ac:dyDescent="0.25">
      <c r="A140" s="3">
        <v>44383</v>
      </c>
      <c r="B140" s="4" t="s">
        <v>23</v>
      </c>
      <c r="C140" s="4" t="s">
        <v>22</v>
      </c>
      <c r="D140" s="4" t="s">
        <v>14</v>
      </c>
      <c r="E140" s="4">
        <v>1999</v>
      </c>
      <c r="F140" s="4">
        <v>23</v>
      </c>
      <c r="G140" s="5">
        <f t="shared" si="2"/>
        <v>45977</v>
      </c>
    </row>
    <row r="141" spans="1:7" ht="15.75" x14ac:dyDescent="0.25">
      <c r="A141" s="6">
        <v>44387</v>
      </c>
      <c r="B141" s="7" t="s">
        <v>10</v>
      </c>
      <c r="C141" s="7" t="s">
        <v>8</v>
      </c>
      <c r="D141" s="7" t="s">
        <v>24</v>
      </c>
      <c r="E141" s="7">
        <v>800</v>
      </c>
      <c r="F141" s="7">
        <v>43</v>
      </c>
      <c r="G141" s="8">
        <f t="shared" si="2"/>
        <v>34400</v>
      </c>
    </row>
    <row r="142" spans="1:7" ht="15.75" x14ac:dyDescent="0.25">
      <c r="A142" s="3">
        <v>44391</v>
      </c>
      <c r="B142" s="4" t="s">
        <v>15</v>
      </c>
      <c r="C142" s="4" t="s">
        <v>17</v>
      </c>
      <c r="D142" s="4" t="s">
        <v>21</v>
      </c>
      <c r="E142" s="4">
        <v>100</v>
      </c>
      <c r="F142" s="4">
        <v>41</v>
      </c>
      <c r="G142" s="5">
        <f t="shared" si="2"/>
        <v>4100</v>
      </c>
    </row>
    <row r="143" spans="1:7" ht="15.75" x14ac:dyDescent="0.25">
      <c r="A143" s="6">
        <v>44395</v>
      </c>
      <c r="B143" s="7" t="s">
        <v>7</v>
      </c>
      <c r="C143" s="7" t="s">
        <v>16</v>
      </c>
      <c r="D143" s="7" t="s">
        <v>21</v>
      </c>
      <c r="E143" s="7">
        <v>13999</v>
      </c>
      <c r="F143" s="7">
        <v>37</v>
      </c>
      <c r="G143" s="8">
        <f t="shared" si="2"/>
        <v>517963</v>
      </c>
    </row>
    <row r="144" spans="1:7" ht="15.75" x14ac:dyDescent="0.25">
      <c r="A144" s="3">
        <v>44399</v>
      </c>
      <c r="B144" s="4" t="s">
        <v>12</v>
      </c>
      <c r="C144" s="4" t="s">
        <v>20</v>
      </c>
      <c r="D144" s="4" t="s">
        <v>18</v>
      </c>
      <c r="E144" s="4">
        <v>22000</v>
      </c>
      <c r="F144" s="4">
        <v>45</v>
      </c>
      <c r="G144" s="5">
        <f t="shared" si="2"/>
        <v>990000</v>
      </c>
    </row>
    <row r="145" spans="1:7" ht="15.75" x14ac:dyDescent="0.25">
      <c r="A145" s="6">
        <v>44403</v>
      </c>
      <c r="B145" s="7" t="s">
        <v>19</v>
      </c>
      <c r="C145" s="7" t="s">
        <v>20</v>
      </c>
      <c r="D145" s="7" t="s">
        <v>24</v>
      </c>
      <c r="E145" s="7">
        <v>89999</v>
      </c>
      <c r="F145" s="7">
        <v>15</v>
      </c>
      <c r="G145" s="8">
        <f t="shared" si="2"/>
        <v>1349985</v>
      </c>
    </row>
    <row r="146" spans="1:7" ht="15.75" x14ac:dyDescent="0.25">
      <c r="A146" s="3">
        <v>44407</v>
      </c>
      <c r="B146" s="4" t="s">
        <v>7</v>
      </c>
      <c r="C146" s="4" t="s">
        <v>8</v>
      </c>
      <c r="D146" s="4" t="s">
        <v>18</v>
      </c>
      <c r="E146" s="4">
        <v>13999</v>
      </c>
      <c r="F146" s="4">
        <v>22</v>
      </c>
      <c r="G146" s="5">
        <f t="shared" si="2"/>
        <v>307978</v>
      </c>
    </row>
    <row r="147" spans="1:7" ht="15.75" x14ac:dyDescent="0.25">
      <c r="A147" s="6">
        <v>44411</v>
      </c>
      <c r="B147" s="7" t="s">
        <v>10</v>
      </c>
      <c r="C147" s="7" t="s">
        <v>22</v>
      </c>
      <c r="D147" s="7" t="s">
        <v>14</v>
      </c>
      <c r="E147" s="7">
        <v>2900</v>
      </c>
      <c r="F147" s="7">
        <v>20</v>
      </c>
      <c r="G147" s="8">
        <f t="shared" si="2"/>
        <v>58000</v>
      </c>
    </row>
    <row r="148" spans="1:7" ht="15.75" x14ac:dyDescent="0.25">
      <c r="A148" s="3">
        <v>44415</v>
      </c>
      <c r="B148" s="4" t="s">
        <v>19</v>
      </c>
      <c r="C148" s="4" t="s">
        <v>20</v>
      </c>
      <c r="D148" s="4" t="s">
        <v>18</v>
      </c>
      <c r="E148" s="4">
        <v>33000</v>
      </c>
      <c r="F148" s="4">
        <v>16</v>
      </c>
      <c r="G148" s="5">
        <f t="shared" si="2"/>
        <v>528000</v>
      </c>
    </row>
    <row r="149" spans="1:7" ht="15.75" x14ac:dyDescent="0.25">
      <c r="A149" s="6">
        <v>44419</v>
      </c>
      <c r="B149" s="7" t="s">
        <v>10</v>
      </c>
      <c r="C149" s="7" t="s">
        <v>20</v>
      </c>
      <c r="D149" s="7" t="s">
        <v>11</v>
      </c>
      <c r="E149" s="7">
        <v>22000</v>
      </c>
      <c r="F149" s="7">
        <v>17</v>
      </c>
      <c r="G149" s="8">
        <f t="shared" si="2"/>
        <v>374000</v>
      </c>
    </row>
    <row r="150" spans="1:7" ht="15.75" x14ac:dyDescent="0.25">
      <c r="A150" s="3">
        <v>44423</v>
      </c>
      <c r="B150" s="4" t="s">
        <v>10</v>
      </c>
      <c r="C150" s="4" t="s">
        <v>22</v>
      </c>
      <c r="D150" s="4" t="s">
        <v>11</v>
      </c>
      <c r="E150" s="4">
        <v>45000</v>
      </c>
      <c r="F150" s="4">
        <v>50</v>
      </c>
      <c r="G150" s="5">
        <f t="shared" si="2"/>
        <v>2250000</v>
      </c>
    </row>
    <row r="151" spans="1:7" ht="15.75" x14ac:dyDescent="0.25">
      <c r="A151" s="6">
        <v>44427</v>
      </c>
      <c r="B151" s="7" t="s">
        <v>19</v>
      </c>
      <c r="C151" s="7" t="s">
        <v>16</v>
      </c>
      <c r="D151" s="7" t="s">
        <v>14</v>
      </c>
      <c r="E151" s="7">
        <v>499</v>
      </c>
      <c r="F151" s="7">
        <v>4</v>
      </c>
      <c r="G151" s="8">
        <f t="shared" si="2"/>
        <v>1996</v>
      </c>
    </row>
    <row r="152" spans="1:7" ht="15.75" x14ac:dyDescent="0.25">
      <c r="A152" s="3">
        <v>44431</v>
      </c>
      <c r="B152" s="4" t="s">
        <v>23</v>
      </c>
      <c r="C152" s="4" t="s">
        <v>22</v>
      </c>
      <c r="D152" s="4" t="s">
        <v>18</v>
      </c>
      <c r="E152" s="4">
        <v>590</v>
      </c>
      <c r="F152" s="4">
        <v>43</v>
      </c>
      <c r="G152" s="5">
        <f t="shared" si="2"/>
        <v>25370</v>
      </c>
    </row>
    <row r="153" spans="1:7" ht="15.75" x14ac:dyDescent="0.25">
      <c r="A153" s="6">
        <v>44435</v>
      </c>
      <c r="B153" s="7" t="s">
        <v>12</v>
      </c>
      <c r="C153" s="7" t="s">
        <v>22</v>
      </c>
      <c r="D153" s="7" t="s">
        <v>11</v>
      </c>
      <c r="E153" s="7">
        <v>590</v>
      </c>
      <c r="F153" s="7">
        <v>42</v>
      </c>
      <c r="G153" s="8">
        <f t="shared" si="2"/>
        <v>24780</v>
      </c>
    </row>
    <row r="154" spans="1:7" ht="15.75" x14ac:dyDescent="0.25">
      <c r="A154" s="3">
        <v>44439</v>
      </c>
      <c r="B154" s="4" t="s">
        <v>15</v>
      </c>
      <c r="C154" s="4" t="s">
        <v>17</v>
      </c>
      <c r="D154" s="4" t="s">
        <v>9</v>
      </c>
      <c r="E154" s="4">
        <v>12000</v>
      </c>
      <c r="F154" s="4">
        <v>9</v>
      </c>
      <c r="G154" s="5">
        <f t="shared" si="2"/>
        <v>108000</v>
      </c>
    </row>
    <row r="155" spans="1:7" ht="15.75" x14ac:dyDescent="0.25">
      <c r="A155" s="6">
        <v>44443</v>
      </c>
      <c r="B155" s="7" t="s">
        <v>19</v>
      </c>
      <c r="C155" s="7" t="s">
        <v>20</v>
      </c>
      <c r="D155" s="7" t="s">
        <v>24</v>
      </c>
      <c r="E155" s="7">
        <v>52000</v>
      </c>
      <c r="F155" s="7">
        <v>40</v>
      </c>
      <c r="G155" s="8">
        <f t="shared" si="2"/>
        <v>2080000</v>
      </c>
    </row>
    <row r="156" spans="1:7" ht="15.75" x14ac:dyDescent="0.25">
      <c r="A156" s="3">
        <v>44447</v>
      </c>
      <c r="B156" s="4" t="s">
        <v>19</v>
      </c>
      <c r="C156" s="4" t="s">
        <v>13</v>
      </c>
      <c r="D156" s="4" t="s">
        <v>18</v>
      </c>
      <c r="E156" s="4">
        <v>7999</v>
      </c>
      <c r="F156" s="4">
        <v>14</v>
      </c>
      <c r="G156" s="5">
        <f t="shared" si="2"/>
        <v>111986</v>
      </c>
    </row>
    <row r="157" spans="1:7" ht="15.75" x14ac:dyDescent="0.25">
      <c r="A157" s="6">
        <v>44451</v>
      </c>
      <c r="B157" s="7" t="s">
        <v>10</v>
      </c>
      <c r="C157" s="7" t="s">
        <v>13</v>
      </c>
      <c r="D157" s="7" t="s">
        <v>21</v>
      </c>
      <c r="E157" s="7">
        <v>5000</v>
      </c>
      <c r="F157" s="7">
        <v>9</v>
      </c>
      <c r="G157" s="8">
        <f t="shared" si="2"/>
        <v>45000</v>
      </c>
    </row>
    <row r="158" spans="1:7" ht="15.75" x14ac:dyDescent="0.25">
      <c r="A158" s="3">
        <v>44455</v>
      </c>
      <c r="B158" s="4" t="s">
        <v>19</v>
      </c>
      <c r="C158" s="4" t="s">
        <v>20</v>
      </c>
      <c r="D158" s="4" t="s">
        <v>18</v>
      </c>
      <c r="E158" s="4">
        <v>79999</v>
      </c>
      <c r="F158" s="4">
        <v>10</v>
      </c>
      <c r="G158" s="5">
        <f t="shared" si="2"/>
        <v>799990</v>
      </c>
    </row>
    <row r="159" spans="1:7" ht="15.75" x14ac:dyDescent="0.25">
      <c r="A159" s="6">
        <v>44459</v>
      </c>
      <c r="B159" s="7" t="s">
        <v>23</v>
      </c>
      <c r="C159" s="7" t="s">
        <v>16</v>
      </c>
      <c r="D159" s="7" t="s">
        <v>14</v>
      </c>
      <c r="E159" s="7">
        <v>1999</v>
      </c>
      <c r="F159" s="7">
        <v>37</v>
      </c>
      <c r="G159" s="8">
        <f t="shared" si="2"/>
        <v>73963</v>
      </c>
    </row>
    <row r="160" spans="1:7" ht="15.75" x14ac:dyDescent="0.25">
      <c r="A160" s="3">
        <v>44463</v>
      </c>
      <c r="B160" s="4" t="s">
        <v>19</v>
      </c>
      <c r="C160" s="4" t="s">
        <v>20</v>
      </c>
      <c r="D160" s="4" t="s">
        <v>18</v>
      </c>
      <c r="E160" s="4">
        <v>89999</v>
      </c>
      <c r="F160" s="4">
        <v>29</v>
      </c>
      <c r="G160" s="5">
        <f t="shared" si="2"/>
        <v>2609971</v>
      </c>
    </row>
    <row r="161" spans="1:7" ht="15.75" x14ac:dyDescent="0.25">
      <c r="A161" s="6">
        <v>44467</v>
      </c>
      <c r="B161" s="7" t="s">
        <v>12</v>
      </c>
      <c r="C161" s="7" t="s">
        <v>20</v>
      </c>
      <c r="D161" s="7" t="s">
        <v>9</v>
      </c>
      <c r="E161" s="7">
        <v>799</v>
      </c>
      <c r="F161" s="7">
        <v>44</v>
      </c>
      <c r="G161" s="8">
        <f t="shared" si="2"/>
        <v>35156</v>
      </c>
    </row>
    <row r="162" spans="1:7" ht="15.75" x14ac:dyDescent="0.25">
      <c r="A162" s="3">
        <v>44471</v>
      </c>
      <c r="B162" s="4" t="s">
        <v>19</v>
      </c>
      <c r="C162" s="4" t="s">
        <v>20</v>
      </c>
      <c r="D162" s="4" t="s">
        <v>11</v>
      </c>
      <c r="E162" s="4">
        <v>3990</v>
      </c>
      <c r="F162" s="4">
        <v>31</v>
      </c>
      <c r="G162" s="5">
        <f t="shared" si="2"/>
        <v>123690</v>
      </c>
    </row>
    <row r="163" spans="1:7" ht="15.75" x14ac:dyDescent="0.25">
      <c r="A163" s="6">
        <v>44475</v>
      </c>
      <c r="B163" s="7" t="s">
        <v>10</v>
      </c>
      <c r="C163" s="7" t="s">
        <v>20</v>
      </c>
      <c r="D163" s="7" t="s">
        <v>14</v>
      </c>
      <c r="E163" s="7">
        <v>52000</v>
      </c>
      <c r="F163" s="7">
        <v>29</v>
      </c>
      <c r="G163" s="8">
        <f t="shared" si="2"/>
        <v>1508000</v>
      </c>
    </row>
    <row r="164" spans="1:7" ht="15.75" x14ac:dyDescent="0.25">
      <c r="A164" s="3">
        <v>44479</v>
      </c>
      <c r="B164" s="4" t="s">
        <v>10</v>
      </c>
      <c r="C164" s="4" t="s">
        <v>8</v>
      </c>
      <c r="D164" s="4" t="s">
        <v>18</v>
      </c>
      <c r="E164" s="4">
        <v>13999</v>
      </c>
      <c r="F164" s="4">
        <v>34</v>
      </c>
      <c r="G164" s="5">
        <f t="shared" si="2"/>
        <v>475966</v>
      </c>
    </row>
    <row r="165" spans="1:7" ht="15.75" x14ac:dyDescent="0.25">
      <c r="A165" s="6">
        <v>44483</v>
      </c>
      <c r="B165" s="7" t="s">
        <v>15</v>
      </c>
      <c r="C165" s="7" t="s">
        <v>17</v>
      </c>
      <c r="D165" s="7" t="s">
        <v>14</v>
      </c>
      <c r="E165" s="7">
        <v>14500</v>
      </c>
      <c r="F165" s="7">
        <v>29</v>
      </c>
      <c r="G165" s="8">
        <f t="shared" si="2"/>
        <v>420500</v>
      </c>
    </row>
    <row r="166" spans="1:7" ht="15.75" x14ac:dyDescent="0.25">
      <c r="A166" s="3">
        <v>44487</v>
      </c>
      <c r="B166" s="4" t="s">
        <v>19</v>
      </c>
      <c r="C166" s="4" t="s">
        <v>13</v>
      </c>
      <c r="D166" s="4" t="s">
        <v>24</v>
      </c>
      <c r="E166" s="4">
        <v>23999</v>
      </c>
      <c r="F166" s="4">
        <v>25</v>
      </c>
      <c r="G166" s="5">
        <f t="shared" si="2"/>
        <v>599975</v>
      </c>
    </row>
    <row r="167" spans="1:7" ht="15.75" x14ac:dyDescent="0.25">
      <c r="A167" s="6">
        <v>44491</v>
      </c>
      <c r="B167" s="7" t="s">
        <v>19</v>
      </c>
      <c r="C167" s="7" t="s">
        <v>13</v>
      </c>
      <c r="D167" s="7" t="s">
        <v>18</v>
      </c>
      <c r="E167" s="7">
        <v>1250</v>
      </c>
      <c r="F167" s="7">
        <v>31</v>
      </c>
      <c r="G167" s="8">
        <f t="shared" si="2"/>
        <v>38750</v>
      </c>
    </row>
    <row r="168" spans="1:7" ht="15.75" x14ac:dyDescent="0.25">
      <c r="A168" s="3">
        <v>44495</v>
      </c>
      <c r="B168" s="4" t="s">
        <v>23</v>
      </c>
      <c r="C168" s="4" t="s">
        <v>16</v>
      </c>
      <c r="D168" s="4" t="s">
        <v>18</v>
      </c>
      <c r="E168" s="4">
        <v>35600</v>
      </c>
      <c r="F168" s="4">
        <v>16</v>
      </c>
      <c r="G168" s="5">
        <f t="shared" si="2"/>
        <v>569600</v>
      </c>
    </row>
    <row r="169" spans="1:7" ht="15.75" x14ac:dyDescent="0.25">
      <c r="A169" s="6">
        <v>44499</v>
      </c>
      <c r="B169" s="7" t="s">
        <v>15</v>
      </c>
      <c r="C169" s="7" t="s">
        <v>17</v>
      </c>
      <c r="D169" s="7" t="s">
        <v>18</v>
      </c>
      <c r="E169" s="7">
        <v>65000</v>
      </c>
      <c r="F169" s="7">
        <v>48</v>
      </c>
      <c r="G169" s="8">
        <f t="shared" si="2"/>
        <v>3120000</v>
      </c>
    </row>
    <row r="170" spans="1:7" ht="15.75" x14ac:dyDescent="0.25">
      <c r="A170" s="3">
        <v>44503</v>
      </c>
      <c r="B170" s="4" t="s">
        <v>12</v>
      </c>
      <c r="C170" s="4" t="s">
        <v>17</v>
      </c>
      <c r="D170" s="4" t="s">
        <v>24</v>
      </c>
      <c r="E170" s="4">
        <v>12000</v>
      </c>
      <c r="F170" s="4">
        <v>22</v>
      </c>
      <c r="G170" s="5">
        <f t="shared" si="2"/>
        <v>264000</v>
      </c>
    </row>
    <row r="171" spans="1:7" ht="15.75" x14ac:dyDescent="0.25">
      <c r="A171" s="6">
        <v>44507</v>
      </c>
      <c r="B171" s="7" t="s">
        <v>23</v>
      </c>
      <c r="C171" s="7" t="s">
        <v>22</v>
      </c>
      <c r="D171" s="7" t="s">
        <v>18</v>
      </c>
      <c r="E171" s="7">
        <v>699</v>
      </c>
      <c r="F171" s="7">
        <v>6</v>
      </c>
      <c r="G171" s="8">
        <f t="shared" si="2"/>
        <v>4194</v>
      </c>
    </row>
    <row r="172" spans="1:7" ht="15.75" x14ac:dyDescent="0.25">
      <c r="A172" s="3">
        <v>44511</v>
      </c>
      <c r="B172" s="4" t="s">
        <v>23</v>
      </c>
      <c r="C172" s="4" t="s">
        <v>16</v>
      </c>
      <c r="D172" s="4" t="s">
        <v>14</v>
      </c>
      <c r="E172" s="4">
        <v>990</v>
      </c>
      <c r="F172" s="4">
        <v>12</v>
      </c>
      <c r="G172" s="5">
        <f t="shared" si="2"/>
        <v>11880</v>
      </c>
    </row>
    <row r="173" spans="1:7" ht="15.75" x14ac:dyDescent="0.25">
      <c r="A173" s="6">
        <v>44515</v>
      </c>
      <c r="B173" s="7" t="s">
        <v>23</v>
      </c>
      <c r="C173" s="7" t="s">
        <v>22</v>
      </c>
      <c r="D173" s="7" t="s">
        <v>9</v>
      </c>
      <c r="E173" s="7">
        <v>450</v>
      </c>
      <c r="F173" s="7">
        <v>44</v>
      </c>
      <c r="G173" s="8">
        <f t="shared" si="2"/>
        <v>19800</v>
      </c>
    </row>
    <row r="174" spans="1:7" ht="15.75" x14ac:dyDescent="0.25">
      <c r="A174" s="3">
        <v>44519</v>
      </c>
      <c r="B174" s="4" t="s">
        <v>23</v>
      </c>
      <c r="C174" s="4" t="s">
        <v>16</v>
      </c>
      <c r="D174" s="4" t="s">
        <v>9</v>
      </c>
      <c r="E174" s="4">
        <v>1499</v>
      </c>
      <c r="F174" s="4">
        <v>15</v>
      </c>
      <c r="G174" s="5">
        <f t="shared" si="2"/>
        <v>22485</v>
      </c>
    </row>
    <row r="175" spans="1:7" ht="15.75" x14ac:dyDescent="0.25">
      <c r="A175" s="6">
        <v>44523</v>
      </c>
      <c r="B175" s="7" t="s">
        <v>7</v>
      </c>
      <c r="C175" s="7" t="s">
        <v>8</v>
      </c>
      <c r="D175" s="7" t="s">
        <v>21</v>
      </c>
      <c r="E175" s="7">
        <v>499</v>
      </c>
      <c r="F175" s="7">
        <v>26</v>
      </c>
      <c r="G175" s="8">
        <f t="shared" si="2"/>
        <v>12974</v>
      </c>
    </row>
    <row r="176" spans="1:7" ht="15.75" x14ac:dyDescent="0.25">
      <c r="A176" s="3">
        <v>44527</v>
      </c>
      <c r="B176" s="4" t="s">
        <v>19</v>
      </c>
      <c r="C176" s="4" t="s">
        <v>13</v>
      </c>
      <c r="D176" s="4" t="s">
        <v>21</v>
      </c>
      <c r="E176" s="4">
        <v>960</v>
      </c>
      <c r="F176" s="4">
        <v>16</v>
      </c>
      <c r="G176" s="5">
        <f t="shared" si="2"/>
        <v>15360</v>
      </c>
    </row>
    <row r="177" spans="1:7" ht="15.75" x14ac:dyDescent="0.25">
      <c r="A177" s="6">
        <v>44531</v>
      </c>
      <c r="B177" s="7" t="s">
        <v>12</v>
      </c>
      <c r="C177" s="7" t="s">
        <v>16</v>
      </c>
      <c r="D177" s="7" t="s">
        <v>18</v>
      </c>
      <c r="E177" s="7">
        <v>5599</v>
      </c>
      <c r="F177" s="7">
        <v>35</v>
      </c>
      <c r="G177" s="8">
        <f t="shared" si="2"/>
        <v>195965</v>
      </c>
    </row>
    <row r="178" spans="1:7" ht="15.75" x14ac:dyDescent="0.25">
      <c r="A178" s="3">
        <v>44535</v>
      </c>
      <c r="B178" s="4" t="s">
        <v>15</v>
      </c>
      <c r="C178" s="4" t="s">
        <v>17</v>
      </c>
      <c r="D178" s="4" t="s">
        <v>9</v>
      </c>
      <c r="E178" s="4">
        <v>89</v>
      </c>
      <c r="F178" s="4">
        <v>36</v>
      </c>
      <c r="G178" s="5">
        <f t="shared" si="2"/>
        <v>3204</v>
      </c>
    </row>
    <row r="179" spans="1:7" ht="15.75" x14ac:dyDescent="0.25">
      <c r="A179" s="6">
        <v>44539</v>
      </c>
      <c r="B179" s="7" t="s">
        <v>7</v>
      </c>
      <c r="C179" s="7" t="s">
        <v>8</v>
      </c>
      <c r="D179" s="7" t="s">
        <v>14</v>
      </c>
      <c r="E179" s="7">
        <v>2550</v>
      </c>
      <c r="F179" s="7">
        <v>20</v>
      </c>
      <c r="G179" s="8">
        <f t="shared" si="2"/>
        <v>51000</v>
      </c>
    </row>
    <row r="180" spans="1:7" ht="15.75" x14ac:dyDescent="0.25">
      <c r="A180" s="3">
        <v>44543</v>
      </c>
      <c r="B180" s="4" t="s">
        <v>7</v>
      </c>
      <c r="C180" s="4" t="s">
        <v>8</v>
      </c>
      <c r="D180" s="4" t="s">
        <v>9</v>
      </c>
      <c r="E180" s="4">
        <v>1450</v>
      </c>
      <c r="F180" s="4">
        <v>47</v>
      </c>
      <c r="G180" s="5">
        <f t="shared" si="2"/>
        <v>68150</v>
      </c>
    </row>
    <row r="181" spans="1:7" ht="15.75" x14ac:dyDescent="0.25">
      <c r="A181" s="6">
        <v>44547</v>
      </c>
      <c r="B181" s="7" t="s">
        <v>23</v>
      </c>
      <c r="C181" s="7" t="s">
        <v>22</v>
      </c>
      <c r="D181" s="7" t="s">
        <v>18</v>
      </c>
      <c r="E181" s="7">
        <v>2900</v>
      </c>
      <c r="F181" s="7">
        <v>6</v>
      </c>
      <c r="G181" s="8">
        <f t="shared" si="2"/>
        <v>17400</v>
      </c>
    </row>
    <row r="182" spans="1:7" ht="15.75" x14ac:dyDescent="0.25">
      <c r="A182" s="3">
        <v>44551</v>
      </c>
      <c r="B182" s="4" t="s">
        <v>15</v>
      </c>
      <c r="C182" s="4" t="s">
        <v>17</v>
      </c>
      <c r="D182" s="4" t="s">
        <v>21</v>
      </c>
      <c r="E182" s="4">
        <v>120</v>
      </c>
      <c r="F182" s="4">
        <v>6</v>
      </c>
      <c r="G182" s="5">
        <f t="shared" si="2"/>
        <v>720</v>
      </c>
    </row>
    <row r="183" spans="1:7" ht="15.75" x14ac:dyDescent="0.25">
      <c r="A183" s="6">
        <v>44555</v>
      </c>
      <c r="B183" s="7" t="s">
        <v>19</v>
      </c>
      <c r="C183" s="7" t="s">
        <v>20</v>
      </c>
      <c r="D183" s="7" t="s">
        <v>21</v>
      </c>
      <c r="E183" s="7">
        <v>52000</v>
      </c>
      <c r="F183" s="7">
        <v>41</v>
      </c>
      <c r="G183" s="8">
        <f t="shared" si="2"/>
        <v>2132000</v>
      </c>
    </row>
    <row r="184" spans="1:7" ht="15.75" x14ac:dyDescent="0.25">
      <c r="A184" s="3">
        <v>44559</v>
      </c>
      <c r="B184" s="4" t="s">
        <v>23</v>
      </c>
      <c r="C184" s="4" t="s">
        <v>22</v>
      </c>
      <c r="D184" s="4" t="s">
        <v>14</v>
      </c>
      <c r="E184" s="4">
        <v>590</v>
      </c>
      <c r="F184" s="4">
        <v>29</v>
      </c>
      <c r="G184" s="5">
        <f t="shared" si="2"/>
        <v>17110</v>
      </c>
    </row>
    <row r="185" spans="1:7" ht="15.75" x14ac:dyDescent="0.25">
      <c r="A185" s="6">
        <v>44563</v>
      </c>
      <c r="B185" s="7" t="s">
        <v>19</v>
      </c>
      <c r="C185" s="7" t="s">
        <v>16</v>
      </c>
      <c r="D185" s="7" t="s">
        <v>24</v>
      </c>
      <c r="E185" s="7">
        <v>7999</v>
      </c>
      <c r="F185" s="7">
        <v>31</v>
      </c>
      <c r="G185" s="8">
        <f t="shared" si="2"/>
        <v>247969</v>
      </c>
    </row>
    <row r="186" spans="1:7" ht="15.75" x14ac:dyDescent="0.25">
      <c r="A186" s="3">
        <v>44567</v>
      </c>
      <c r="B186" s="4" t="s">
        <v>10</v>
      </c>
      <c r="C186" s="4" t="s">
        <v>17</v>
      </c>
      <c r="D186" s="4" t="s">
        <v>14</v>
      </c>
      <c r="E186" s="4">
        <v>999</v>
      </c>
      <c r="F186" s="4">
        <v>34</v>
      </c>
      <c r="G186" s="5">
        <f t="shared" si="2"/>
        <v>33966</v>
      </c>
    </row>
    <row r="187" spans="1:7" ht="15.75" x14ac:dyDescent="0.25">
      <c r="A187" s="6">
        <v>44571</v>
      </c>
      <c r="B187" s="7" t="s">
        <v>12</v>
      </c>
      <c r="C187" s="7" t="s">
        <v>22</v>
      </c>
      <c r="D187" s="7" t="s">
        <v>9</v>
      </c>
      <c r="E187" s="7">
        <v>990</v>
      </c>
      <c r="F187" s="7">
        <v>43</v>
      </c>
      <c r="G187" s="8">
        <f t="shared" si="2"/>
        <v>42570</v>
      </c>
    </row>
    <row r="188" spans="1:7" ht="15.75" x14ac:dyDescent="0.25">
      <c r="A188" s="3">
        <v>44575</v>
      </c>
      <c r="B188" s="4" t="s">
        <v>19</v>
      </c>
      <c r="C188" s="4" t="s">
        <v>20</v>
      </c>
      <c r="D188" s="4" t="s">
        <v>9</v>
      </c>
      <c r="E188" s="4">
        <v>11999</v>
      </c>
      <c r="F188" s="4">
        <v>37</v>
      </c>
      <c r="G188" s="5">
        <f t="shared" si="2"/>
        <v>443963</v>
      </c>
    </row>
    <row r="189" spans="1:7" ht="15.75" x14ac:dyDescent="0.25">
      <c r="A189" s="6">
        <v>44579</v>
      </c>
      <c r="B189" s="7" t="s">
        <v>19</v>
      </c>
      <c r="C189" s="7" t="s">
        <v>13</v>
      </c>
      <c r="D189" s="7" t="s">
        <v>9</v>
      </c>
      <c r="E189" s="7">
        <v>960</v>
      </c>
      <c r="F189" s="7">
        <v>7</v>
      </c>
      <c r="G189" s="8">
        <f t="shared" si="2"/>
        <v>6720</v>
      </c>
    </row>
    <row r="190" spans="1:7" ht="15.75" x14ac:dyDescent="0.25">
      <c r="A190" s="3">
        <v>44583</v>
      </c>
      <c r="B190" s="4" t="s">
        <v>7</v>
      </c>
      <c r="C190" s="4" t="s">
        <v>8</v>
      </c>
      <c r="D190" s="4" t="s">
        <v>14</v>
      </c>
      <c r="E190" s="4">
        <v>1450</v>
      </c>
      <c r="F190" s="4">
        <v>19</v>
      </c>
      <c r="G190" s="5">
        <f t="shared" si="2"/>
        <v>27550</v>
      </c>
    </row>
    <row r="191" spans="1:7" ht="15.75" x14ac:dyDescent="0.25">
      <c r="A191" s="6">
        <v>44587</v>
      </c>
      <c r="B191" s="7" t="s">
        <v>23</v>
      </c>
      <c r="C191" s="7" t="s">
        <v>22</v>
      </c>
      <c r="D191" s="7" t="s">
        <v>11</v>
      </c>
      <c r="E191" s="7">
        <v>450</v>
      </c>
      <c r="F191" s="7">
        <v>47</v>
      </c>
      <c r="G191" s="8">
        <f t="shared" si="2"/>
        <v>21150</v>
      </c>
    </row>
    <row r="192" spans="1:7" ht="15.75" x14ac:dyDescent="0.25">
      <c r="A192" s="3">
        <v>44591</v>
      </c>
      <c r="B192" s="4" t="s">
        <v>10</v>
      </c>
      <c r="C192" s="4" t="s">
        <v>22</v>
      </c>
      <c r="D192" s="4" t="s">
        <v>14</v>
      </c>
      <c r="E192" s="4">
        <v>1499</v>
      </c>
      <c r="F192" s="4">
        <v>37</v>
      </c>
      <c r="G192" s="5">
        <f t="shared" si="2"/>
        <v>55463</v>
      </c>
    </row>
    <row r="193" spans="1:7" ht="15.75" x14ac:dyDescent="0.25">
      <c r="A193" s="6">
        <v>44595</v>
      </c>
      <c r="B193" s="7" t="s">
        <v>12</v>
      </c>
      <c r="C193" s="7" t="s">
        <v>20</v>
      </c>
      <c r="D193" s="7" t="s">
        <v>11</v>
      </c>
      <c r="E193" s="7">
        <v>79999</v>
      </c>
      <c r="F193" s="7">
        <v>4</v>
      </c>
      <c r="G193" s="8">
        <f t="shared" si="2"/>
        <v>319996</v>
      </c>
    </row>
    <row r="194" spans="1:7" ht="15.75" x14ac:dyDescent="0.25">
      <c r="A194" s="3">
        <v>44599</v>
      </c>
      <c r="B194" s="4" t="s">
        <v>12</v>
      </c>
      <c r="C194" s="4" t="s">
        <v>17</v>
      </c>
      <c r="D194" s="4" t="s">
        <v>21</v>
      </c>
      <c r="E194" s="4">
        <v>999</v>
      </c>
      <c r="F194" s="4">
        <v>45</v>
      </c>
      <c r="G194" s="5">
        <f t="shared" si="2"/>
        <v>44955</v>
      </c>
    </row>
    <row r="195" spans="1:7" ht="15.75" x14ac:dyDescent="0.25">
      <c r="A195" s="6">
        <v>44603</v>
      </c>
      <c r="B195" s="7" t="s">
        <v>19</v>
      </c>
      <c r="C195" s="7" t="s">
        <v>20</v>
      </c>
      <c r="D195" s="7" t="s">
        <v>9</v>
      </c>
      <c r="E195" s="7">
        <v>52000</v>
      </c>
      <c r="F195" s="7">
        <v>15</v>
      </c>
      <c r="G195" s="8">
        <f t="shared" ref="G195:G258" si="3">E195*F195</f>
        <v>780000</v>
      </c>
    </row>
    <row r="196" spans="1:7" ht="15.75" x14ac:dyDescent="0.25">
      <c r="A196" s="3">
        <v>44607</v>
      </c>
      <c r="B196" s="4" t="s">
        <v>19</v>
      </c>
      <c r="C196" s="4" t="s">
        <v>20</v>
      </c>
      <c r="D196" s="4" t="s">
        <v>18</v>
      </c>
      <c r="E196" s="4">
        <v>52000</v>
      </c>
      <c r="F196" s="4">
        <v>39</v>
      </c>
      <c r="G196" s="5">
        <f t="shared" si="3"/>
        <v>2028000</v>
      </c>
    </row>
    <row r="197" spans="1:7" ht="15.75" x14ac:dyDescent="0.25">
      <c r="A197" s="6">
        <v>44611</v>
      </c>
      <c r="B197" s="7" t="s">
        <v>19</v>
      </c>
      <c r="C197" s="7" t="s">
        <v>13</v>
      </c>
      <c r="D197" s="7" t="s">
        <v>14</v>
      </c>
      <c r="E197" s="7">
        <v>960</v>
      </c>
      <c r="F197" s="7">
        <v>33</v>
      </c>
      <c r="G197" s="8">
        <f t="shared" si="3"/>
        <v>31680</v>
      </c>
    </row>
    <row r="198" spans="1:7" ht="15.75" x14ac:dyDescent="0.25">
      <c r="A198" s="3">
        <v>44615</v>
      </c>
      <c r="B198" s="4" t="s">
        <v>19</v>
      </c>
      <c r="C198" s="4" t="s">
        <v>13</v>
      </c>
      <c r="D198" s="4" t="s">
        <v>14</v>
      </c>
      <c r="E198" s="4">
        <v>1450</v>
      </c>
      <c r="F198" s="4">
        <v>34</v>
      </c>
      <c r="G198" s="5">
        <f t="shared" si="3"/>
        <v>49300</v>
      </c>
    </row>
    <row r="199" spans="1:7" ht="15.75" x14ac:dyDescent="0.25">
      <c r="A199" s="6">
        <v>44619</v>
      </c>
      <c r="B199" s="7" t="s">
        <v>19</v>
      </c>
      <c r="C199" s="7" t="s">
        <v>16</v>
      </c>
      <c r="D199" s="7" t="s">
        <v>18</v>
      </c>
      <c r="E199" s="7">
        <v>2999</v>
      </c>
      <c r="F199" s="7">
        <v>33</v>
      </c>
      <c r="G199" s="8">
        <f t="shared" si="3"/>
        <v>98967</v>
      </c>
    </row>
    <row r="200" spans="1:7" ht="15.75" x14ac:dyDescent="0.25">
      <c r="A200" s="3">
        <v>44623</v>
      </c>
      <c r="B200" s="4" t="s">
        <v>12</v>
      </c>
      <c r="C200" s="4" t="s">
        <v>13</v>
      </c>
      <c r="D200" s="4" t="s">
        <v>21</v>
      </c>
      <c r="E200" s="4">
        <v>1250</v>
      </c>
      <c r="F200" s="4">
        <v>14</v>
      </c>
      <c r="G200" s="5">
        <f t="shared" si="3"/>
        <v>17500</v>
      </c>
    </row>
    <row r="201" spans="1:7" ht="15.75" x14ac:dyDescent="0.25">
      <c r="A201" s="6">
        <v>44627</v>
      </c>
      <c r="B201" s="7" t="s">
        <v>15</v>
      </c>
      <c r="C201" s="7" t="s">
        <v>17</v>
      </c>
      <c r="D201" s="7" t="s">
        <v>9</v>
      </c>
      <c r="E201" s="7">
        <v>120</v>
      </c>
      <c r="F201" s="7">
        <v>41</v>
      </c>
      <c r="G201" s="8">
        <f t="shared" si="3"/>
        <v>4920</v>
      </c>
    </row>
    <row r="202" spans="1:7" ht="15.75" x14ac:dyDescent="0.25">
      <c r="A202" s="3">
        <v>44631</v>
      </c>
      <c r="B202" s="4" t="s">
        <v>10</v>
      </c>
      <c r="C202" s="4" t="s">
        <v>8</v>
      </c>
      <c r="D202" s="4" t="s">
        <v>18</v>
      </c>
      <c r="E202" s="4">
        <v>1450</v>
      </c>
      <c r="F202" s="4">
        <v>22</v>
      </c>
      <c r="G202" s="5">
        <f t="shared" si="3"/>
        <v>31900</v>
      </c>
    </row>
    <row r="203" spans="1:7" ht="15.75" x14ac:dyDescent="0.25">
      <c r="A203" s="6">
        <v>44635</v>
      </c>
      <c r="B203" s="7" t="s">
        <v>10</v>
      </c>
      <c r="C203" s="7" t="s">
        <v>20</v>
      </c>
      <c r="D203" s="7" t="s">
        <v>9</v>
      </c>
      <c r="E203" s="7">
        <v>89999</v>
      </c>
      <c r="F203" s="7">
        <v>15</v>
      </c>
      <c r="G203" s="8">
        <f t="shared" si="3"/>
        <v>1349985</v>
      </c>
    </row>
    <row r="204" spans="1:7" ht="15.75" x14ac:dyDescent="0.25">
      <c r="A204" s="3">
        <v>44639</v>
      </c>
      <c r="B204" s="4" t="s">
        <v>23</v>
      </c>
      <c r="C204" s="4" t="s">
        <v>22</v>
      </c>
      <c r="D204" s="4" t="s">
        <v>14</v>
      </c>
      <c r="E204" s="4">
        <v>1999</v>
      </c>
      <c r="F204" s="4">
        <v>48</v>
      </c>
      <c r="G204" s="5">
        <f t="shared" si="3"/>
        <v>95952</v>
      </c>
    </row>
    <row r="205" spans="1:7" ht="15.75" x14ac:dyDescent="0.25">
      <c r="A205" s="6">
        <v>44643</v>
      </c>
      <c r="B205" s="7" t="s">
        <v>23</v>
      </c>
      <c r="C205" s="7" t="s">
        <v>16</v>
      </c>
      <c r="D205" s="7" t="s">
        <v>18</v>
      </c>
      <c r="E205" s="7">
        <v>2900</v>
      </c>
      <c r="F205" s="7">
        <v>49</v>
      </c>
      <c r="G205" s="8">
        <f t="shared" si="3"/>
        <v>142100</v>
      </c>
    </row>
    <row r="206" spans="1:7" ht="15.75" x14ac:dyDescent="0.25">
      <c r="A206" s="3">
        <v>44647</v>
      </c>
      <c r="B206" s="4" t="s">
        <v>19</v>
      </c>
      <c r="C206" s="4" t="s">
        <v>20</v>
      </c>
      <c r="D206" s="4" t="s">
        <v>21</v>
      </c>
      <c r="E206" s="4">
        <v>700</v>
      </c>
      <c r="F206" s="4">
        <v>50</v>
      </c>
      <c r="G206" s="5">
        <f t="shared" si="3"/>
        <v>35000</v>
      </c>
    </row>
    <row r="207" spans="1:7" ht="15.75" x14ac:dyDescent="0.25">
      <c r="A207" s="6">
        <v>44651</v>
      </c>
      <c r="B207" s="7" t="s">
        <v>15</v>
      </c>
      <c r="C207" s="7" t="s">
        <v>17</v>
      </c>
      <c r="D207" s="7" t="s">
        <v>18</v>
      </c>
      <c r="E207" s="7">
        <v>200</v>
      </c>
      <c r="F207" s="7">
        <v>41</v>
      </c>
      <c r="G207" s="8">
        <f t="shared" si="3"/>
        <v>8200</v>
      </c>
    </row>
    <row r="208" spans="1:7" ht="15.75" x14ac:dyDescent="0.25">
      <c r="A208" s="3">
        <v>44655</v>
      </c>
      <c r="B208" s="4" t="s">
        <v>7</v>
      </c>
      <c r="C208" s="4" t="s">
        <v>8</v>
      </c>
      <c r="D208" s="4" t="s">
        <v>14</v>
      </c>
      <c r="E208" s="4">
        <v>499</v>
      </c>
      <c r="F208" s="4">
        <v>29</v>
      </c>
      <c r="G208" s="5">
        <f t="shared" si="3"/>
        <v>14471</v>
      </c>
    </row>
    <row r="209" spans="1:7" ht="15.75" x14ac:dyDescent="0.25">
      <c r="A209" s="6">
        <v>44659</v>
      </c>
      <c r="B209" s="7" t="s">
        <v>12</v>
      </c>
      <c r="C209" s="7" t="s">
        <v>8</v>
      </c>
      <c r="D209" s="7" t="s">
        <v>24</v>
      </c>
      <c r="E209" s="7">
        <v>5599</v>
      </c>
      <c r="F209" s="7">
        <v>36</v>
      </c>
      <c r="G209" s="8">
        <f t="shared" si="3"/>
        <v>201564</v>
      </c>
    </row>
    <row r="210" spans="1:7" ht="15.75" x14ac:dyDescent="0.25">
      <c r="A210" s="3">
        <v>44663</v>
      </c>
      <c r="B210" s="4" t="s">
        <v>10</v>
      </c>
      <c r="C210" s="4" t="s">
        <v>17</v>
      </c>
      <c r="D210" s="4" t="s">
        <v>18</v>
      </c>
      <c r="E210" s="4">
        <v>100</v>
      </c>
      <c r="F210" s="4">
        <v>39</v>
      </c>
      <c r="G210" s="5">
        <f t="shared" si="3"/>
        <v>3900</v>
      </c>
    </row>
    <row r="211" spans="1:7" ht="15.75" x14ac:dyDescent="0.25">
      <c r="A211" s="6">
        <v>44667</v>
      </c>
      <c r="B211" s="7" t="s">
        <v>19</v>
      </c>
      <c r="C211" s="7" t="s">
        <v>16</v>
      </c>
      <c r="D211" s="7" t="s">
        <v>18</v>
      </c>
      <c r="E211" s="7">
        <v>79999</v>
      </c>
      <c r="F211" s="7">
        <v>9</v>
      </c>
      <c r="G211" s="8">
        <f t="shared" si="3"/>
        <v>719991</v>
      </c>
    </row>
    <row r="212" spans="1:7" ht="15.75" x14ac:dyDescent="0.25">
      <c r="A212" s="3">
        <v>44671</v>
      </c>
      <c r="B212" s="4" t="s">
        <v>12</v>
      </c>
      <c r="C212" s="4" t="s">
        <v>20</v>
      </c>
      <c r="D212" s="4" t="s">
        <v>14</v>
      </c>
      <c r="E212" s="4">
        <v>700</v>
      </c>
      <c r="F212" s="4">
        <v>38</v>
      </c>
      <c r="G212" s="5">
        <f t="shared" si="3"/>
        <v>26600</v>
      </c>
    </row>
    <row r="213" spans="1:7" ht="15.75" x14ac:dyDescent="0.25">
      <c r="A213" s="6">
        <v>44675</v>
      </c>
      <c r="B213" s="7" t="s">
        <v>19</v>
      </c>
      <c r="C213" s="7" t="s">
        <v>13</v>
      </c>
      <c r="D213" s="7" t="s">
        <v>9</v>
      </c>
      <c r="E213" s="7">
        <v>550</v>
      </c>
      <c r="F213" s="7">
        <v>25</v>
      </c>
      <c r="G213" s="8">
        <f t="shared" si="3"/>
        <v>13750</v>
      </c>
    </row>
    <row r="214" spans="1:7" ht="15.75" x14ac:dyDescent="0.25">
      <c r="A214" s="3">
        <v>44679</v>
      </c>
      <c r="B214" s="4" t="s">
        <v>23</v>
      </c>
      <c r="C214" s="4" t="s">
        <v>22</v>
      </c>
      <c r="D214" s="4" t="s">
        <v>18</v>
      </c>
      <c r="E214" s="4">
        <v>1499</v>
      </c>
      <c r="F214" s="4">
        <v>16</v>
      </c>
      <c r="G214" s="5">
        <f t="shared" si="3"/>
        <v>23984</v>
      </c>
    </row>
    <row r="215" spans="1:7" ht="15.75" x14ac:dyDescent="0.25">
      <c r="A215" s="6">
        <v>44683</v>
      </c>
      <c r="B215" s="7" t="s">
        <v>15</v>
      </c>
      <c r="C215" s="7" t="s">
        <v>17</v>
      </c>
      <c r="D215" s="7" t="s">
        <v>21</v>
      </c>
      <c r="E215" s="7">
        <v>120</v>
      </c>
      <c r="F215" s="7">
        <v>22</v>
      </c>
      <c r="G215" s="8">
        <f t="shared" si="3"/>
        <v>2640</v>
      </c>
    </row>
    <row r="216" spans="1:7" ht="15.75" x14ac:dyDescent="0.25">
      <c r="A216" s="3">
        <v>44687</v>
      </c>
      <c r="B216" s="4" t="s">
        <v>7</v>
      </c>
      <c r="C216" s="4" t="s">
        <v>8</v>
      </c>
      <c r="D216" s="4" t="s">
        <v>11</v>
      </c>
      <c r="E216" s="4">
        <v>1450</v>
      </c>
      <c r="F216" s="4">
        <v>20</v>
      </c>
      <c r="G216" s="5">
        <f t="shared" si="3"/>
        <v>29000</v>
      </c>
    </row>
    <row r="217" spans="1:7" ht="15.75" x14ac:dyDescent="0.25">
      <c r="A217" s="6">
        <v>44691</v>
      </c>
      <c r="B217" s="7" t="s">
        <v>23</v>
      </c>
      <c r="C217" s="7" t="s">
        <v>16</v>
      </c>
      <c r="D217" s="7" t="s">
        <v>14</v>
      </c>
      <c r="E217" s="7">
        <v>1999</v>
      </c>
      <c r="F217" s="7">
        <v>23</v>
      </c>
      <c r="G217" s="8">
        <f t="shared" si="3"/>
        <v>45977</v>
      </c>
    </row>
    <row r="218" spans="1:7" ht="15.75" x14ac:dyDescent="0.25">
      <c r="A218" s="3">
        <v>44695</v>
      </c>
      <c r="B218" s="4" t="s">
        <v>7</v>
      </c>
      <c r="C218" s="4" t="s">
        <v>8</v>
      </c>
      <c r="D218" s="4" t="s">
        <v>18</v>
      </c>
      <c r="E218" s="4">
        <v>800</v>
      </c>
      <c r="F218" s="4">
        <v>43</v>
      </c>
      <c r="G218" s="5">
        <f t="shared" si="3"/>
        <v>34400</v>
      </c>
    </row>
    <row r="219" spans="1:7" ht="15.75" x14ac:dyDescent="0.25">
      <c r="A219" s="6">
        <v>44699</v>
      </c>
      <c r="B219" s="7" t="s">
        <v>12</v>
      </c>
      <c r="C219" s="7" t="s">
        <v>17</v>
      </c>
      <c r="D219" s="7" t="s">
        <v>21</v>
      </c>
      <c r="E219" s="7">
        <v>100</v>
      </c>
      <c r="F219" s="7">
        <v>41</v>
      </c>
      <c r="G219" s="8">
        <f t="shared" si="3"/>
        <v>4100</v>
      </c>
    </row>
    <row r="220" spans="1:7" ht="15.75" x14ac:dyDescent="0.25">
      <c r="A220" s="3">
        <v>44703</v>
      </c>
      <c r="B220" s="4" t="s">
        <v>7</v>
      </c>
      <c r="C220" s="4" t="s">
        <v>8</v>
      </c>
      <c r="D220" s="4" t="s">
        <v>14</v>
      </c>
      <c r="E220" s="4">
        <v>13999</v>
      </c>
      <c r="F220" s="4">
        <v>37</v>
      </c>
      <c r="G220" s="5">
        <f t="shared" si="3"/>
        <v>517963</v>
      </c>
    </row>
    <row r="221" spans="1:7" ht="15.75" x14ac:dyDescent="0.25">
      <c r="A221" s="6">
        <v>44707</v>
      </c>
      <c r="B221" s="7" t="s">
        <v>19</v>
      </c>
      <c r="C221" s="7" t="s">
        <v>20</v>
      </c>
      <c r="D221" s="7" t="s">
        <v>18</v>
      </c>
      <c r="E221" s="7">
        <v>22000</v>
      </c>
      <c r="F221" s="7">
        <v>45</v>
      </c>
      <c r="G221" s="8">
        <f t="shared" si="3"/>
        <v>990000</v>
      </c>
    </row>
    <row r="222" spans="1:7" ht="15.75" x14ac:dyDescent="0.25">
      <c r="A222" s="3">
        <v>44711</v>
      </c>
      <c r="B222" s="4" t="s">
        <v>19</v>
      </c>
      <c r="C222" s="4" t="s">
        <v>20</v>
      </c>
      <c r="D222" s="4" t="s">
        <v>24</v>
      </c>
      <c r="E222" s="4">
        <v>89999</v>
      </c>
      <c r="F222" s="4">
        <v>15</v>
      </c>
      <c r="G222" s="5">
        <f t="shared" si="3"/>
        <v>1349985</v>
      </c>
    </row>
    <row r="223" spans="1:7" ht="15.75" x14ac:dyDescent="0.25">
      <c r="A223" s="6">
        <v>44715</v>
      </c>
      <c r="B223" s="7" t="s">
        <v>10</v>
      </c>
      <c r="C223" s="7" t="s">
        <v>16</v>
      </c>
      <c r="D223" s="7" t="s">
        <v>18</v>
      </c>
      <c r="E223" s="7">
        <v>13999</v>
      </c>
      <c r="F223" s="7">
        <v>22</v>
      </c>
      <c r="G223" s="8">
        <f t="shared" si="3"/>
        <v>307978</v>
      </c>
    </row>
    <row r="224" spans="1:7" ht="15.75" x14ac:dyDescent="0.25">
      <c r="A224" s="3">
        <v>44719</v>
      </c>
      <c r="B224" s="4" t="s">
        <v>12</v>
      </c>
      <c r="C224" s="4" t="s">
        <v>22</v>
      </c>
      <c r="D224" s="4" t="s">
        <v>14</v>
      </c>
      <c r="E224" s="4">
        <v>2900</v>
      </c>
      <c r="F224" s="4">
        <v>20</v>
      </c>
      <c r="G224" s="5">
        <f t="shared" si="3"/>
        <v>58000</v>
      </c>
    </row>
    <row r="225" spans="1:7" ht="15.75" x14ac:dyDescent="0.25">
      <c r="A225" s="6">
        <v>44723</v>
      </c>
      <c r="B225" s="7" t="s">
        <v>10</v>
      </c>
      <c r="C225" s="7" t="s">
        <v>20</v>
      </c>
      <c r="D225" s="7" t="s">
        <v>18</v>
      </c>
      <c r="E225" s="7">
        <v>33000</v>
      </c>
      <c r="F225" s="7">
        <v>16</v>
      </c>
      <c r="G225" s="8">
        <f t="shared" si="3"/>
        <v>528000</v>
      </c>
    </row>
    <row r="226" spans="1:7" ht="15.75" x14ac:dyDescent="0.25">
      <c r="A226" s="3">
        <v>44727</v>
      </c>
      <c r="B226" s="4" t="s">
        <v>19</v>
      </c>
      <c r="C226" s="4" t="s">
        <v>16</v>
      </c>
      <c r="D226" s="4" t="s">
        <v>11</v>
      </c>
      <c r="E226" s="4">
        <v>22000</v>
      </c>
      <c r="F226" s="4">
        <v>17</v>
      </c>
      <c r="G226" s="5">
        <f t="shared" si="3"/>
        <v>374000</v>
      </c>
    </row>
    <row r="227" spans="1:7" ht="15.75" x14ac:dyDescent="0.25">
      <c r="A227" s="6">
        <v>44731</v>
      </c>
      <c r="B227" s="7" t="s">
        <v>23</v>
      </c>
      <c r="C227" s="7" t="s">
        <v>22</v>
      </c>
      <c r="D227" s="7" t="s">
        <v>11</v>
      </c>
      <c r="E227" s="7">
        <v>699</v>
      </c>
      <c r="F227" s="7">
        <v>50</v>
      </c>
      <c r="G227" s="8">
        <f t="shared" si="3"/>
        <v>34950</v>
      </c>
    </row>
    <row r="228" spans="1:7" ht="15.75" x14ac:dyDescent="0.25">
      <c r="A228" s="3">
        <v>44735</v>
      </c>
      <c r="B228" s="4" t="s">
        <v>12</v>
      </c>
      <c r="C228" s="4" t="s">
        <v>20</v>
      </c>
      <c r="D228" s="4" t="s">
        <v>14</v>
      </c>
      <c r="E228" s="4">
        <v>499</v>
      </c>
      <c r="F228" s="4">
        <v>4</v>
      </c>
      <c r="G228" s="5">
        <f t="shared" si="3"/>
        <v>1996</v>
      </c>
    </row>
    <row r="229" spans="1:7" ht="15.75" x14ac:dyDescent="0.25">
      <c r="A229" s="6">
        <v>44739</v>
      </c>
      <c r="B229" s="7" t="s">
        <v>23</v>
      </c>
      <c r="C229" s="7" t="s">
        <v>22</v>
      </c>
      <c r="D229" s="7" t="s">
        <v>18</v>
      </c>
      <c r="E229" s="7">
        <v>590</v>
      </c>
      <c r="F229" s="7">
        <v>43</v>
      </c>
      <c r="G229" s="8">
        <f t="shared" si="3"/>
        <v>25370</v>
      </c>
    </row>
    <row r="230" spans="1:7" ht="15.75" x14ac:dyDescent="0.25">
      <c r="A230" s="3">
        <v>44743</v>
      </c>
      <c r="B230" s="4" t="s">
        <v>23</v>
      </c>
      <c r="C230" s="4" t="s">
        <v>22</v>
      </c>
      <c r="D230" s="4" t="s">
        <v>11</v>
      </c>
      <c r="E230" s="4">
        <v>590</v>
      </c>
      <c r="F230" s="4">
        <v>42</v>
      </c>
      <c r="G230" s="5">
        <f t="shared" si="3"/>
        <v>24780</v>
      </c>
    </row>
    <row r="231" spans="1:7" ht="15.75" x14ac:dyDescent="0.25">
      <c r="A231" s="6">
        <v>44747</v>
      </c>
      <c r="B231" s="7" t="s">
        <v>15</v>
      </c>
      <c r="C231" s="7" t="s">
        <v>17</v>
      </c>
      <c r="D231" s="7" t="s">
        <v>9</v>
      </c>
      <c r="E231" s="7">
        <v>120</v>
      </c>
      <c r="F231" s="7">
        <v>9</v>
      </c>
      <c r="G231" s="8">
        <f t="shared" si="3"/>
        <v>1080</v>
      </c>
    </row>
    <row r="232" spans="1:7" ht="15.75" x14ac:dyDescent="0.25">
      <c r="A232" s="3">
        <v>44751</v>
      </c>
      <c r="B232" s="4" t="s">
        <v>12</v>
      </c>
      <c r="C232" s="4" t="s">
        <v>20</v>
      </c>
      <c r="D232" s="4" t="s">
        <v>24</v>
      </c>
      <c r="E232" s="4">
        <v>52000</v>
      </c>
      <c r="F232" s="4">
        <v>40</v>
      </c>
      <c r="G232" s="5">
        <f t="shared" si="3"/>
        <v>2080000</v>
      </c>
    </row>
    <row r="233" spans="1:7" ht="15.75" x14ac:dyDescent="0.25">
      <c r="A233" s="6">
        <v>44755</v>
      </c>
      <c r="B233" s="7" t="s">
        <v>19</v>
      </c>
      <c r="C233" s="7" t="s">
        <v>16</v>
      </c>
      <c r="D233" s="7" t="s">
        <v>18</v>
      </c>
      <c r="E233" s="7">
        <v>7999</v>
      </c>
      <c r="F233" s="7">
        <v>14</v>
      </c>
      <c r="G233" s="8">
        <f t="shared" si="3"/>
        <v>111986</v>
      </c>
    </row>
    <row r="234" spans="1:7" ht="15.75" x14ac:dyDescent="0.25">
      <c r="A234" s="3">
        <v>44759</v>
      </c>
      <c r="B234" s="4" t="s">
        <v>12</v>
      </c>
      <c r="C234" s="4" t="s">
        <v>13</v>
      </c>
      <c r="D234" s="4" t="s">
        <v>21</v>
      </c>
      <c r="E234" s="4">
        <v>550</v>
      </c>
      <c r="F234" s="4">
        <v>9</v>
      </c>
      <c r="G234" s="5">
        <f t="shared" si="3"/>
        <v>4950</v>
      </c>
    </row>
    <row r="235" spans="1:7" ht="15.75" x14ac:dyDescent="0.25">
      <c r="A235" s="6">
        <v>44763</v>
      </c>
      <c r="B235" s="7" t="s">
        <v>19</v>
      </c>
      <c r="C235" s="7" t="s">
        <v>20</v>
      </c>
      <c r="D235" s="7" t="s">
        <v>18</v>
      </c>
      <c r="E235" s="7">
        <v>79999</v>
      </c>
      <c r="F235" s="7">
        <v>10</v>
      </c>
      <c r="G235" s="8">
        <f t="shared" si="3"/>
        <v>799990</v>
      </c>
    </row>
    <row r="236" spans="1:7" ht="15.75" x14ac:dyDescent="0.25">
      <c r="A236" s="3">
        <v>44767</v>
      </c>
      <c r="B236" s="4" t="s">
        <v>10</v>
      </c>
      <c r="C236" s="4" t="s">
        <v>16</v>
      </c>
      <c r="D236" s="4" t="s">
        <v>11</v>
      </c>
      <c r="E236" s="4">
        <v>1999</v>
      </c>
      <c r="F236" s="4">
        <v>37</v>
      </c>
      <c r="G236" s="5">
        <f t="shared" si="3"/>
        <v>73963</v>
      </c>
    </row>
    <row r="237" spans="1:7" ht="15.75" x14ac:dyDescent="0.25">
      <c r="A237" s="6">
        <v>44771</v>
      </c>
      <c r="B237" s="7" t="s">
        <v>12</v>
      </c>
      <c r="C237" s="7" t="s">
        <v>20</v>
      </c>
      <c r="D237" s="7" t="s">
        <v>18</v>
      </c>
      <c r="E237" s="7">
        <v>89999</v>
      </c>
      <c r="F237" s="7">
        <v>29</v>
      </c>
      <c r="G237" s="8">
        <f t="shared" si="3"/>
        <v>2609971</v>
      </c>
    </row>
    <row r="238" spans="1:7" ht="15.75" x14ac:dyDescent="0.25">
      <c r="A238" s="3">
        <v>44775</v>
      </c>
      <c r="B238" s="4" t="s">
        <v>19</v>
      </c>
      <c r="C238" s="4" t="s">
        <v>20</v>
      </c>
      <c r="D238" s="4" t="s">
        <v>9</v>
      </c>
      <c r="E238" s="4">
        <v>799</v>
      </c>
      <c r="F238" s="4">
        <v>44</v>
      </c>
      <c r="G238" s="5">
        <f t="shared" si="3"/>
        <v>35156</v>
      </c>
    </row>
    <row r="239" spans="1:7" ht="15.75" x14ac:dyDescent="0.25">
      <c r="A239" s="6">
        <v>44779</v>
      </c>
      <c r="B239" s="7" t="s">
        <v>19</v>
      </c>
      <c r="C239" s="7" t="s">
        <v>20</v>
      </c>
      <c r="D239" s="7" t="s">
        <v>24</v>
      </c>
      <c r="E239" s="7">
        <v>3990</v>
      </c>
      <c r="F239" s="7">
        <v>31</v>
      </c>
      <c r="G239" s="8">
        <f t="shared" si="3"/>
        <v>123690</v>
      </c>
    </row>
    <row r="240" spans="1:7" ht="15.75" x14ac:dyDescent="0.25">
      <c r="A240" s="3">
        <v>44783</v>
      </c>
      <c r="B240" s="4" t="s">
        <v>12</v>
      </c>
      <c r="C240" s="4" t="s">
        <v>16</v>
      </c>
      <c r="D240" s="4" t="s">
        <v>14</v>
      </c>
      <c r="E240" s="4">
        <v>52000</v>
      </c>
      <c r="F240" s="4">
        <v>29</v>
      </c>
      <c r="G240" s="5">
        <f t="shared" si="3"/>
        <v>1508000</v>
      </c>
    </row>
    <row r="241" spans="1:7" ht="15.75" x14ac:dyDescent="0.25">
      <c r="A241" s="6">
        <v>44787</v>
      </c>
      <c r="B241" s="7" t="s">
        <v>7</v>
      </c>
      <c r="C241" s="7" t="s">
        <v>8</v>
      </c>
      <c r="D241" s="7" t="s">
        <v>18</v>
      </c>
      <c r="E241" s="7">
        <v>13999</v>
      </c>
      <c r="F241" s="7">
        <v>34</v>
      </c>
      <c r="G241" s="8">
        <f t="shared" si="3"/>
        <v>475966</v>
      </c>
    </row>
    <row r="242" spans="1:7" ht="15.75" x14ac:dyDescent="0.25">
      <c r="A242" s="3">
        <v>44791</v>
      </c>
      <c r="B242" s="4" t="s">
        <v>12</v>
      </c>
      <c r="C242" s="4" t="s">
        <v>17</v>
      </c>
      <c r="D242" s="4" t="s">
        <v>14</v>
      </c>
      <c r="E242" s="4">
        <v>120</v>
      </c>
      <c r="F242" s="4">
        <v>29</v>
      </c>
      <c r="G242" s="5">
        <f t="shared" si="3"/>
        <v>3480</v>
      </c>
    </row>
    <row r="243" spans="1:7" ht="15.75" x14ac:dyDescent="0.25">
      <c r="A243" s="6">
        <v>44795</v>
      </c>
      <c r="B243" s="7" t="s">
        <v>19</v>
      </c>
      <c r="C243" s="7" t="s">
        <v>13</v>
      </c>
      <c r="D243" s="7" t="s">
        <v>9</v>
      </c>
      <c r="E243" s="7">
        <v>23999</v>
      </c>
      <c r="F243" s="7">
        <v>25</v>
      </c>
      <c r="G243" s="8">
        <f t="shared" si="3"/>
        <v>599975</v>
      </c>
    </row>
    <row r="244" spans="1:7" ht="15.75" x14ac:dyDescent="0.25">
      <c r="A244" s="3">
        <v>44799</v>
      </c>
      <c r="B244" s="4" t="s">
        <v>12</v>
      </c>
      <c r="C244" s="4" t="s">
        <v>13</v>
      </c>
      <c r="D244" s="4" t="s">
        <v>18</v>
      </c>
      <c r="E244" s="4">
        <v>1250</v>
      </c>
      <c r="F244" s="4">
        <v>31</v>
      </c>
      <c r="G244" s="5">
        <f t="shared" si="3"/>
        <v>38750</v>
      </c>
    </row>
    <row r="245" spans="1:7" ht="15.75" x14ac:dyDescent="0.25">
      <c r="A245" s="6">
        <v>44803</v>
      </c>
      <c r="B245" s="7" t="s">
        <v>23</v>
      </c>
      <c r="C245" s="7" t="s">
        <v>16</v>
      </c>
      <c r="D245" s="7" t="s">
        <v>18</v>
      </c>
      <c r="E245" s="7">
        <v>45000</v>
      </c>
      <c r="F245" s="7">
        <v>16</v>
      </c>
      <c r="G245" s="8">
        <f t="shared" si="3"/>
        <v>720000</v>
      </c>
    </row>
    <row r="246" spans="1:7" ht="15.75" x14ac:dyDescent="0.25">
      <c r="A246" s="3">
        <v>44807</v>
      </c>
      <c r="B246" s="4" t="s">
        <v>10</v>
      </c>
      <c r="C246" s="4" t="s">
        <v>17</v>
      </c>
      <c r="D246" s="4" t="s">
        <v>14</v>
      </c>
      <c r="E246" s="4">
        <v>120</v>
      </c>
      <c r="F246" s="4">
        <v>48</v>
      </c>
      <c r="G246" s="5">
        <f t="shared" si="3"/>
        <v>5760</v>
      </c>
    </row>
    <row r="247" spans="1:7" ht="15.75" x14ac:dyDescent="0.25">
      <c r="A247" s="6">
        <v>44811</v>
      </c>
      <c r="B247" s="7" t="s">
        <v>12</v>
      </c>
      <c r="C247" s="7" t="s">
        <v>16</v>
      </c>
      <c r="D247" s="7" t="s">
        <v>21</v>
      </c>
      <c r="E247" s="7">
        <v>25600</v>
      </c>
      <c r="F247" s="7">
        <v>22</v>
      </c>
      <c r="G247" s="8">
        <f t="shared" si="3"/>
        <v>563200</v>
      </c>
    </row>
    <row r="248" spans="1:7" ht="15.75" x14ac:dyDescent="0.25">
      <c r="A248" s="3">
        <v>44815</v>
      </c>
      <c r="B248" s="4" t="s">
        <v>23</v>
      </c>
      <c r="C248" s="4" t="s">
        <v>22</v>
      </c>
      <c r="D248" s="4" t="s">
        <v>18</v>
      </c>
      <c r="E248" s="4">
        <v>699</v>
      </c>
      <c r="F248" s="4">
        <v>6</v>
      </c>
      <c r="G248" s="5">
        <f t="shared" si="3"/>
        <v>4194</v>
      </c>
    </row>
    <row r="249" spans="1:7" ht="15.75" x14ac:dyDescent="0.25">
      <c r="A249" s="6">
        <v>44819</v>
      </c>
      <c r="B249" s="7" t="s">
        <v>23</v>
      </c>
      <c r="C249" s="7" t="s">
        <v>16</v>
      </c>
      <c r="D249" s="7" t="s">
        <v>14</v>
      </c>
      <c r="E249" s="7">
        <v>99620</v>
      </c>
      <c r="F249" s="7">
        <v>12</v>
      </c>
      <c r="G249" s="8">
        <f t="shared" si="3"/>
        <v>1195440</v>
      </c>
    </row>
    <row r="250" spans="1:7" ht="15.75" x14ac:dyDescent="0.25">
      <c r="A250" s="3">
        <v>44823</v>
      </c>
      <c r="B250" s="4" t="s">
        <v>12</v>
      </c>
      <c r="C250" s="4" t="s">
        <v>22</v>
      </c>
      <c r="D250" s="4" t="s">
        <v>24</v>
      </c>
      <c r="E250" s="4">
        <v>450</v>
      </c>
      <c r="F250" s="4">
        <v>44</v>
      </c>
      <c r="G250" s="5">
        <f t="shared" si="3"/>
        <v>19800</v>
      </c>
    </row>
    <row r="251" spans="1:7" ht="15.75" x14ac:dyDescent="0.25">
      <c r="A251" s="6">
        <v>44827</v>
      </c>
      <c r="B251" s="7" t="s">
        <v>23</v>
      </c>
      <c r="C251" s="7" t="s">
        <v>22</v>
      </c>
      <c r="D251" s="7" t="s">
        <v>14</v>
      </c>
      <c r="E251" s="7">
        <v>1499</v>
      </c>
      <c r="F251" s="7">
        <v>15</v>
      </c>
      <c r="G251" s="8">
        <f t="shared" si="3"/>
        <v>22485</v>
      </c>
    </row>
    <row r="252" spans="1:7" ht="15.75" x14ac:dyDescent="0.25">
      <c r="A252" s="3">
        <v>44831</v>
      </c>
      <c r="B252" s="4" t="s">
        <v>7</v>
      </c>
      <c r="C252" s="4" t="s">
        <v>16</v>
      </c>
      <c r="D252" s="4" t="s">
        <v>21</v>
      </c>
      <c r="E252" s="4">
        <v>49500</v>
      </c>
      <c r="F252" s="4">
        <v>26</v>
      </c>
      <c r="G252" s="5">
        <f t="shared" si="3"/>
        <v>1287000</v>
      </c>
    </row>
    <row r="253" spans="1:7" ht="15.75" x14ac:dyDescent="0.25">
      <c r="A253" s="6">
        <v>44835</v>
      </c>
      <c r="B253" s="7" t="s">
        <v>10</v>
      </c>
      <c r="C253" s="7" t="s">
        <v>13</v>
      </c>
      <c r="D253" s="7" t="s">
        <v>21</v>
      </c>
      <c r="E253" s="7">
        <v>960</v>
      </c>
      <c r="F253" s="7">
        <v>16</v>
      </c>
      <c r="G253" s="8">
        <f t="shared" si="3"/>
        <v>15360</v>
      </c>
    </row>
    <row r="254" spans="1:7" ht="15.75" x14ac:dyDescent="0.25">
      <c r="A254" s="3">
        <v>44839</v>
      </c>
      <c r="B254" s="4" t="s">
        <v>12</v>
      </c>
      <c r="C254" s="4" t="s">
        <v>8</v>
      </c>
      <c r="D254" s="4" t="s">
        <v>18</v>
      </c>
      <c r="E254" s="4">
        <v>5599</v>
      </c>
      <c r="F254" s="4">
        <v>35</v>
      </c>
      <c r="G254" s="5">
        <f t="shared" si="3"/>
        <v>195965</v>
      </c>
    </row>
    <row r="255" spans="1:7" ht="15.75" x14ac:dyDescent="0.25">
      <c r="A255" s="6">
        <v>44843</v>
      </c>
      <c r="B255" s="7" t="s">
        <v>15</v>
      </c>
      <c r="C255" s="7" t="s">
        <v>17</v>
      </c>
      <c r="D255" s="7" t="s">
        <v>9</v>
      </c>
      <c r="E255" s="7">
        <v>89</v>
      </c>
      <c r="F255" s="7">
        <v>36</v>
      </c>
      <c r="G255" s="8">
        <f t="shared" si="3"/>
        <v>3204</v>
      </c>
    </row>
    <row r="256" spans="1:7" ht="15.75" x14ac:dyDescent="0.25">
      <c r="A256" s="3">
        <v>44847</v>
      </c>
      <c r="B256" s="4" t="s">
        <v>7</v>
      </c>
      <c r="C256" s="4" t="s">
        <v>8</v>
      </c>
      <c r="D256" s="4" t="s">
        <v>24</v>
      </c>
      <c r="E256" s="4">
        <v>2550</v>
      </c>
      <c r="F256" s="4">
        <v>20</v>
      </c>
      <c r="G256" s="5">
        <f t="shared" si="3"/>
        <v>51000</v>
      </c>
    </row>
    <row r="257" spans="1:7" ht="15.75" x14ac:dyDescent="0.25">
      <c r="A257" s="6">
        <v>44851</v>
      </c>
      <c r="B257" s="7" t="s">
        <v>12</v>
      </c>
      <c r="C257" s="7" t="s">
        <v>16</v>
      </c>
      <c r="D257" s="7" t="s">
        <v>9</v>
      </c>
      <c r="E257" s="7">
        <v>14500</v>
      </c>
      <c r="F257" s="7">
        <v>47</v>
      </c>
      <c r="G257" s="8">
        <f t="shared" si="3"/>
        <v>681500</v>
      </c>
    </row>
    <row r="258" spans="1:7" ht="15.75" x14ac:dyDescent="0.25">
      <c r="A258" s="3">
        <v>44855</v>
      </c>
      <c r="B258" s="4" t="s">
        <v>23</v>
      </c>
      <c r="C258" s="4" t="s">
        <v>22</v>
      </c>
      <c r="D258" s="4" t="s">
        <v>18</v>
      </c>
      <c r="E258" s="4">
        <v>2900</v>
      </c>
      <c r="F258" s="4">
        <v>6</v>
      </c>
      <c r="G258" s="5">
        <f t="shared" si="3"/>
        <v>17400</v>
      </c>
    </row>
    <row r="259" spans="1:7" ht="15.75" x14ac:dyDescent="0.25">
      <c r="A259" s="6">
        <v>44859</v>
      </c>
      <c r="B259" s="7" t="s">
        <v>15</v>
      </c>
      <c r="C259" s="7" t="s">
        <v>17</v>
      </c>
      <c r="D259" s="7" t="s">
        <v>21</v>
      </c>
      <c r="E259" s="7">
        <v>120</v>
      </c>
      <c r="F259" s="7">
        <v>6</v>
      </c>
      <c r="G259" s="8">
        <f t="shared" ref="G259:G279" si="4">E259*F259</f>
        <v>720</v>
      </c>
    </row>
    <row r="260" spans="1:7" ht="15.75" x14ac:dyDescent="0.25">
      <c r="A260" s="3">
        <v>44863</v>
      </c>
      <c r="B260" s="4" t="s">
        <v>19</v>
      </c>
      <c r="C260" s="4" t="s">
        <v>16</v>
      </c>
      <c r="D260" s="4" t="s">
        <v>14</v>
      </c>
      <c r="E260" s="4">
        <v>52000</v>
      </c>
      <c r="F260" s="4">
        <v>41</v>
      </c>
      <c r="G260" s="5">
        <f t="shared" si="4"/>
        <v>2132000</v>
      </c>
    </row>
    <row r="261" spans="1:7" ht="15.75" x14ac:dyDescent="0.25">
      <c r="A261" s="6">
        <v>44867</v>
      </c>
      <c r="B261" s="7" t="s">
        <v>10</v>
      </c>
      <c r="C261" s="7" t="s">
        <v>22</v>
      </c>
      <c r="D261" s="7" t="s">
        <v>11</v>
      </c>
      <c r="E261" s="7">
        <v>590</v>
      </c>
      <c r="F261" s="7">
        <v>29</v>
      </c>
      <c r="G261" s="8">
        <f t="shared" si="4"/>
        <v>17110</v>
      </c>
    </row>
    <row r="262" spans="1:7" ht="15.75" x14ac:dyDescent="0.25">
      <c r="A262" s="3">
        <v>44871</v>
      </c>
      <c r="B262" s="4" t="s">
        <v>19</v>
      </c>
      <c r="C262" s="4" t="s">
        <v>13</v>
      </c>
      <c r="D262" s="4" t="s">
        <v>21</v>
      </c>
      <c r="E262" s="4">
        <v>7999</v>
      </c>
      <c r="F262" s="4">
        <v>31</v>
      </c>
      <c r="G262" s="5">
        <f t="shared" si="4"/>
        <v>247969</v>
      </c>
    </row>
    <row r="263" spans="1:7" ht="15.75" x14ac:dyDescent="0.25">
      <c r="A263" s="6">
        <v>44875</v>
      </c>
      <c r="B263" s="7" t="s">
        <v>12</v>
      </c>
      <c r="C263" s="7" t="s">
        <v>17</v>
      </c>
      <c r="D263" s="7" t="s">
        <v>11</v>
      </c>
      <c r="E263" s="7">
        <v>999</v>
      </c>
      <c r="F263" s="7">
        <v>34</v>
      </c>
      <c r="G263" s="8">
        <f t="shared" si="4"/>
        <v>33966</v>
      </c>
    </row>
    <row r="264" spans="1:7" ht="15.75" x14ac:dyDescent="0.25">
      <c r="A264" s="3">
        <v>44879</v>
      </c>
      <c r="B264" s="4" t="s">
        <v>23</v>
      </c>
      <c r="C264" s="4" t="s">
        <v>16</v>
      </c>
      <c r="D264" s="4" t="s">
        <v>14</v>
      </c>
      <c r="E264" s="4">
        <v>990</v>
      </c>
      <c r="F264" s="4">
        <v>43</v>
      </c>
      <c r="G264" s="5">
        <f t="shared" si="4"/>
        <v>42570</v>
      </c>
    </row>
    <row r="265" spans="1:7" ht="15.75" x14ac:dyDescent="0.25">
      <c r="A265" s="6">
        <v>44883</v>
      </c>
      <c r="B265" s="7" t="s">
        <v>12</v>
      </c>
      <c r="C265" s="7" t="s">
        <v>20</v>
      </c>
      <c r="D265" s="7" t="s">
        <v>9</v>
      </c>
      <c r="E265" s="7">
        <v>11999</v>
      </c>
      <c r="F265" s="7">
        <v>37</v>
      </c>
      <c r="G265" s="8">
        <f t="shared" si="4"/>
        <v>443963</v>
      </c>
    </row>
    <row r="266" spans="1:7" ht="15.75" x14ac:dyDescent="0.25">
      <c r="A266" s="3">
        <v>44887</v>
      </c>
      <c r="B266" s="4" t="s">
        <v>10</v>
      </c>
      <c r="C266" s="4" t="s">
        <v>13</v>
      </c>
      <c r="D266" s="4" t="s">
        <v>9</v>
      </c>
      <c r="E266" s="4">
        <v>960</v>
      </c>
      <c r="F266" s="4">
        <v>7</v>
      </c>
      <c r="G266" s="5">
        <f t="shared" si="4"/>
        <v>6720</v>
      </c>
    </row>
    <row r="267" spans="1:7" ht="15.75" x14ac:dyDescent="0.25">
      <c r="A267" s="6">
        <v>44891</v>
      </c>
      <c r="B267" s="7" t="s">
        <v>7</v>
      </c>
      <c r="C267" s="7" t="s">
        <v>8</v>
      </c>
      <c r="D267" s="7" t="s">
        <v>14</v>
      </c>
      <c r="E267" s="7">
        <v>1450</v>
      </c>
      <c r="F267" s="7">
        <v>19</v>
      </c>
      <c r="G267" s="8">
        <f t="shared" si="4"/>
        <v>27550</v>
      </c>
    </row>
    <row r="268" spans="1:7" ht="15.75" x14ac:dyDescent="0.25">
      <c r="A268" s="3">
        <v>44895</v>
      </c>
      <c r="B268" s="4" t="s">
        <v>23</v>
      </c>
      <c r="C268" s="4" t="s">
        <v>22</v>
      </c>
      <c r="D268" s="4" t="s">
        <v>11</v>
      </c>
      <c r="E268" s="4">
        <v>450</v>
      </c>
      <c r="F268" s="4">
        <v>47</v>
      </c>
      <c r="G268" s="5">
        <f t="shared" si="4"/>
        <v>21150</v>
      </c>
    </row>
    <row r="269" spans="1:7" ht="15.75" x14ac:dyDescent="0.25">
      <c r="A269" s="6">
        <v>44899</v>
      </c>
      <c r="B269" s="7" t="s">
        <v>12</v>
      </c>
      <c r="C269" s="7" t="s">
        <v>16</v>
      </c>
      <c r="D269" s="7" t="s">
        <v>11</v>
      </c>
      <c r="E269" s="7">
        <v>1499</v>
      </c>
      <c r="F269" s="7">
        <v>37</v>
      </c>
      <c r="G269" s="8">
        <f t="shared" si="4"/>
        <v>55463</v>
      </c>
    </row>
    <row r="270" spans="1:7" ht="15.75" x14ac:dyDescent="0.25">
      <c r="A270" s="3">
        <v>44903</v>
      </c>
      <c r="B270" s="4" t="s">
        <v>19</v>
      </c>
      <c r="C270" s="4" t="s">
        <v>20</v>
      </c>
      <c r="D270" s="4" t="s">
        <v>11</v>
      </c>
      <c r="E270" s="4">
        <v>79999</v>
      </c>
      <c r="F270" s="4">
        <v>4</v>
      </c>
      <c r="G270" s="5">
        <f t="shared" si="4"/>
        <v>319996</v>
      </c>
    </row>
    <row r="271" spans="1:7" ht="15.75" x14ac:dyDescent="0.25">
      <c r="A271" s="6">
        <v>44907</v>
      </c>
      <c r="B271" s="7" t="s">
        <v>12</v>
      </c>
      <c r="C271" s="7" t="s">
        <v>17</v>
      </c>
      <c r="D271" s="7" t="s">
        <v>21</v>
      </c>
      <c r="E271" s="7">
        <v>999</v>
      </c>
      <c r="F271" s="7">
        <v>45</v>
      </c>
      <c r="G271" s="8">
        <f t="shared" si="4"/>
        <v>44955</v>
      </c>
    </row>
    <row r="272" spans="1:7" ht="15.75" x14ac:dyDescent="0.25">
      <c r="A272" s="3">
        <v>44911</v>
      </c>
      <c r="B272" s="4" t="s">
        <v>19</v>
      </c>
      <c r="C272" s="4" t="s">
        <v>20</v>
      </c>
      <c r="D272" s="4" t="s">
        <v>9</v>
      </c>
      <c r="E272" s="4">
        <v>52000</v>
      </c>
      <c r="F272" s="4">
        <v>15</v>
      </c>
      <c r="G272" s="5">
        <f t="shared" si="4"/>
        <v>780000</v>
      </c>
    </row>
    <row r="273" spans="1:7" ht="15.75" x14ac:dyDescent="0.25">
      <c r="A273" s="6">
        <v>44915</v>
      </c>
      <c r="B273" s="7" t="s">
        <v>10</v>
      </c>
      <c r="C273" s="7" t="s">
        <v>20</v>
      </c>
      <c r="D273" s="7" t="s">
        <v>18</v>
      </c>
      <c r="E273" s="7">
        <v>52000</v>
      </c>
      <c r="F273" s="7">
        <v>39</v>
      </c>
      <c r="G273" s="8">
        <f t="shared" si="4"/>
        <v>2028000</v>
      </c>
    </row>
    <row r="274" spans="1:7" ht="15.75" x14ac:dyDescent="0.25">
      <c r="A274" s="3">
        <v>44919</v>
      </c>
      <c r="B274" s="4" t="s">
        <v>12</v>
      </c>
      <c r="C274" s="4" t="s">
        <v>13</v>
      </c>
      <c r="D274" s="4" t="s">
        <v>18</v>
      </c>
      <c r="E274" s="4">
        <v>960</v>
      </c>
      <c r="F274" s="4">
        <v>33</v>
      </c>
      <c r="G274" s="5">
        <f t="shared" si="4"/>
        <v>31680</v>
      </c>
    </row>
    <row r="275" spans="1:7" ht="15.75" x14ac:dyDescent="0.25">
      <c r="A275" s="9">
        <v>44923</v>
      </c>
      <c r="B275" s="10" t="s">
        <v>19</v>
      </c>
      <c r="C275" s="10" t="s">
        <v>13</v>
      </c>
      <c r="D275" s="10" t="s">
        <v>14</v>
      </c>
      <c r="E275" s="10">
        <v>1450</v>
      </c>
      <c r="F275" s="10">
        <v>34</v>
      </c>
      <c r="G275" s="11">
        <f t="shared" si="4"/>
        <v>49300</v>
      </c>
    </row>
    <row r="276" spans="1:7" ht="15.75" x14ac:dyDescent="0.25">
      <c r="A276" s="3">
        <v>44913</v>
      </c>
      <c r="B276" s="4" t="s">
        <v>23</v>
      </c>
      <c r="C276" s="4" t="s">
        <v>22</v>
      </c>
      <c r="D276" s="4" t="s">
        <v>24</v>
      </c>
      <c r="E276" s="4">
        <v>2500</v>
      </c>
      <c r="F276" s="4">
        <v>100</v>
      </c>
      <c r="G276" s="5">
        <f t="shared" si="4"/>
        <v>250000</v>
      </c>
    </row>
    <row r="277" spans="1:7" ht="15.75" x14ac:dyDescent="0.25">
      <c r="A277" s="6">
        <v>44917</v>
      </c>
      <c r="B277" s="7" t="s">
        <v>10</v>
      </c>
      <c r="C277" s="7" t="s">
        <v>16</v>
      </c>
      <c r="D277" s="7" t="s">
        <v>24</v>
      </c>
      <c r="E277" s="7">
        <v>86540</v>
      </c>
      <c r="F277" s="7">
        <v>6</v>
      </c>
      <c r="G277" s="8">
        <f t="shared" si="4"/>
        <v>519240</v>
      </c>
    </row>
    <row r="278" spans="1:7" ht="15.75" x14ac:dyDescent="0.25">
      <c r="A278" s="3">
        <v>44922</v>
      </c>
      <c r="B278" s="4" t="s">
        <v>15</v>
      </c>
      <c r="C278" s="4" t="s">
        <v>17</v>
      </c>
      <c r="D278" s="4" t="s">
        <v>24</v>
      </c>
      <c r="E278" s="4">
        <v>550</v>
      </c>
      <c r="F278" s="4">
        <v>44</v>
      </c>
      <c r="G278" s="5">
        <f t="shared" si="4"/>
        <v>24200</v>
      </c>
    </row>
    <row r="279" spans="1:7" ht="15.75" x14ac:dyDescent="0.25">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sheetPr codeName="Sheet2"/>
  <dimension ref="A1"/>
  <sheetViews>
    <sheetView zoomScale="93" zoomScaleNormal="9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216E-90BC-4DA6-9D7C-7DE96939E01A}">
  <sheetPr codeName="Sheet7"/>
  <dimension ref="A1"/>
  <sheetViews>
    <sheetView zoomScale="95" zoomScaleNormal="9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7924-02C2-47FA-86F3-14CA59509B48}">
  <dimension ref="A1"/>
  <sheetViews>
    <sheetView tabSelected="1" topLeftCell="A3" zoomScale="93" zoomScaleNormal="9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F930-9DB1-44BF-BD98-976287DA67FD}">
  <dimension ref="A1"/>
  <sheetViews>
    <sheetView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sheetPr codeName="Sheet4"/>
  <dimension ref="A3:K250"/>
  <sheetViews>
    <sheetView topLeftCell="A34" zoomScale="84" workbookViewId="0">
      <selection activeCell="D248" sqref="D248"/>
    </sheetView>
  </sheetViews>
  <sheetFormatPr defaultRowHeight="15" x14ac:dyDescent="0.25"/>
  <cols>
    <col min="1" max="3" width="13.42578125" bestFit="1" customWidth="1"/>
    <col min="4" max="4" width="12.42578125" bestFit="1" customWidth="1"/>
    <col min="5" max="5" width="6.42578125" bestFit="1" customWidth="1"/>
    <col min="6" max="6" width="13.42578125" bestFit="1" customWidth="1"/>
    <col min="7" max="7" width="14.85546875" bestFit="1" customWidth="1"/>
    <col min="8" max="9" width="6" bestFit="1" customWidth="1"/>
    <col min="10" max="10" width="11.28515625" bestFit="1" customWidth="1"/>
  </cols>
  <sheetData>
    <row r="3" spans="1:11" x14ac:dyDescent="0.25">
      <c r="A3" s="12" t="s">
        <v>25</v>
      </c>
      <c r="B3" t="s">
        <v>27</v>
      </c>
      <c r="K3" t="s">
        <v>28</v>
      </c>
    </row>
    <row r="4" spans="1:11" x14ac:dyDescent="0.25">
      <c r="A4" s="13" t="s">
        <v>22</v>
      </c>
      <c r="B4">
        <v>6428</v>
      </c>
    </row>
    <row r="5" spans="1:11" x14ac:dyDescent="0.25">
      <c r="A5" s="13" t="s">
        <v>26</v>
      </c>
      <c r="B5">
        <v>6428</v>
      </c>
    </row>
    <row r="14" spans="1:11" x14ac:dyDescent="0.25">
      <c r="F14" s="16">
        <f>GETPIVOTDATA("[Measures].[Sum of Amount]",$A$14)</f>
        <v>0</v>
      </c>
      <c r="G14" t="e">
        <f>GETPIVOTDATA("[Measures].[Count of Amount]",$C$14)</f>
        <v>#REF!</v>
      </c>
    </row>
    <row r="18" spans="6:7" x14ac:dyDescent="0.25">
      <c r="F18" s="12" t="s">
        <v>25</v>
      </c>
      <c r="G18" t="s">
        <v>29</v>
      </c>
    </row>
    <row r="19" spans="6:7" x14ac:dyDescent="0.25">
      <c r="F19" s="13" t="s">
        <v>33</v>
      </c>
      <c r="G19" s="15">
        <v>42570</v>
      </c>
    </row>
    <row r="20" spans="6:7" x14ac:dyDescent="0.25">
      <c r="F20" s="13" t="s">
        <v>34</v>
      </c>
      <c r="G20" s="15">
        <v>7996</v>
      </c>
    </row>
    <row r="21" spans="6:7" x14ac:dyDescent="0.25">
      <c r="F21" s="13" t="s">
        <v>35</v>
      </c>
      <c r="G21" s="15">
        <v>7996</v>
      </c>
    </row>
    <row r="22" spans="6:7" x14ac:dyDescent="0.25">
      <c r="F22" s="13" t="s">
        <v>36</v>
      </c>
      <c r="G22" s="15">
        <v>62370</v>
      </c>
    </row>
    <row r="23" spans="6:7" x14ac:dyDescent="0.25">
      <c r="F23" s="13" t="s">
        <v>26</v>
      </c>
      <c r="G23">
        <v>120932</v>
      </c>
    </row>
    <row r="42" spans="2:3" x14ac:dyDescent="0.25">
      <c r="B42" s="12" t="s">
        <v>25</v>
      </c>
      <c r="C42" s="14" t="s">
        <v>29</v>
      </c>
    </row>
    <row r="43" spans="2:3" x14ac:dyDescent="0.25">
      <c r="B43" s="13" t="s">
        <v>9</v>
      </c>
      <c r="C43" s="15">
        <v>120932</v>
      </c>
    </row>
    <row r="44" spans="2:3" x14ac:dyDescent="0.25">
      <c r="B44" s="13" t="s">
        <v>26</v>
      </c>
      <c r="C44" s="15">
        <v>120932</v>
      </c>
    </row>
    <row r="57" spans="2:3" x14ac:dyDescent="0.25">
      <c r="B57" s="12" t="s">
        <v>25</v>
      </c>
      <c r="C57" s="14" t="s">
        <v>29</v>
      </c>
    </row>
    <row r="58" spans="2:3" x14ac:dyDescent="0.25">
      <c r="B58" s="13" t="s">
        <v>13</v>
      </c>
      <c r="C58" s="17">
        <v>0.6990395741226858</v>
      </c>
    </row>
    <row r="59" spans="2:3" x14ac:dyDescent="0.25">
      <c r="B59" s="13" t="s">
        <v>17</v>
      </c>
      <c r="C59" s="17">
        <v>0.17042971988118263</v>
      </c>
    </row>
    <row r="60" spans="2:3" x14ac:dyDescent="0.25">
      <c r="B60" s="13" t="s">
        <v>22</v>
      </c>
      <c r="C60" s="17">
        <v>0.13053070599613154</v>
      </c>
    </row>
    <row r="61" spans="2:3" x14ac:dyDescent="0.25">
      <c r="B61" s="13" t="s">
        <v>26</v>
      </c>
      <c r="C61" s="17">
        <v>1</v>
      </c>
    </row>
    <row r="72" spans="3:6" x14ac:dyDescent="0.25">
      <c r="C72" t="s">
        <v>29</v>
      </c>
      <c r="F72" s="16">
        <f>GETPIVOTDATA("[Measures].[Sum of Amount]",$C$72)</f>
        <v>120932</v>
      </c>
    </row>
    <row r="73" spans="3:6" x14ac:dyDescent="0.25">
      <c r="C73">
        <v>120932</v>
      </c>
    </row>
    <row r="76" spans="3:6" x14ac:dyDescent="0.25">
      <c r="C76" t="s">
        <v>31</v>
      </c>
    </row>
    <row r="77" spans="3:6" x14ac:dyDescent="0.25">
      <c r="C77" t="s">
        <v>30</v>
      </c>
      <c r="F77">
        <f>GETPIVOTDATA("[Measures].[Count of Amount]",$C$77)</f>
        <v>5</v>
      </c>
    </row>
    <row r="78" spans="3:6" x14ac:dyDescent="0.25">
      <c r="C78">
        <v>5</v>
      </c>
    </row>
    <row r="131" spans="2:3" x14ac:dyDescent="0.25">
      <c r="B131" s="12" t="s">
        <v>25</v>
      </c>
      <c r="C131" t="s">
        <v>29</v>
      </c>
    </row>
    <row r="132" spans="2:3" x14ac:dyDescent="0.25">
      <c r="B132" s="13" t="s">
        <v>16</v>
      </c>
      <c r="C132">
        <v>9923650</v>
      </c>
    </row>
    <row r="133" spans="2:3" x14ac:dyDescent="0.25">
      <c r="B133" s="13" t="s">
        <v>8</v>
      </c>
      <c r="C133">
        <v>723768</v>
      </c>
    </row>
    <row r="134" spans="2:3" x14ac:dyDescent="0.25">
      <c r="B134" s="13" t="s">
        <v>20</v>
      </c>
      <c r="C134">
        <v>7605632</v>
      </c>
    </row>
    <row r="135" spans="2:3" x14ac:dyDescent="0.25">
      <c r="B135" s="13" t="s">
        <v>26</v>
      </c>
      <c r="C135">
        <v>18253050</v>
      </c>
    </row>
    <row r="206" spans="3:4" x14ac:dyDescent="0.25">
      <c r="C206" s="12" t="s">
        <v>25</v>
      </c>
      <c r="D206" t="s">
        <v>32</v>
      </c>
    </row>
    <row r="207" spans="3:4" x14ac:dyDescent="0.25">
      <c r="C207" s="13" t="s">
        <v>22</v>
      </c>
      <c r="D207">
        <v>1457</v>
      </c>
    </row>
    <row r="208" spans="3:4" x14ac:dyDescent="0.25">
      <c r="C208" s="13" t="s">
        <v>26</v>
      </c>
      <c r="D208">
        <v>1457</v>
      </c>
    </row>
    <row r="224" spans="3:4" x14ac:dyDescent="0.25">
      <c r="C224" s="12" t="s">
        <v>25</v>
      </c>
      <c r="D224" t="s">
        <v>32</v>
      </c>
    </row>
    <row r="225" spans="3:4" x14ac:dyDescent="0.25">
      <c r="C225" s="13" t="s">
        <v>10</v>
      </c>
      <c r="D225">
        <v>4</v>
      </c>
    </row>
    <row r="226" spans="3:4" x14ac:dyDescent="0.25">
      <c r="C226" s="13" t="s">
        <v>12</v>
      </c>
      <c r="D226">
        <v>43</v>
      </c>
    </row>
    <row r="227" spans="3:4" x14ac:dyDescent="0.25">
      <c r="C227" s="13" t="s">
        <v>23</v>
      </c>
      <c r="D227">
        <v>91</v>
      </c>
    </row>
    <row r="228" spans="3:4" x14ac:dyDescent="0.25">
      <c r="C228" s="13" t="s">
        <v>26</v>
      </c>
      <c r="D228">
        <v>138</v>
      </c>
    </row>
    <row r="234" spans="3:4" x14ac:dyDescent="0.25">
      <c r="C234" s="12" t="s">
        <v>25</v>
      </c>
      <c r="D234" t="s">
        <v>32</v>
      </c>
    </row>
    <row r="235" spans="3:4" x14ac:dyDescent="0.25">
      <c r="C235" s="13" t="s">
        <v>23</v>
      </c>
      <c r="D235">
        <v>91</v>
      </c>
    </row>
    <row r="236" spans="3:4" x14ac:dyDescent="0.25">
      <c r="C236" s="13" t="s">
        <v>12</v>
      </c>
      <c r="D236">
        <v>43</v>
      </c>
    </row>
    <row r="237" spans="3:4" x14ac:dyDescent="0.25">
      <c r="C237" s="13" t="s">
        <v>10</v>
      </c>
      <c r="D237">
        <v>4</v>
      </c>
    </row>
    <row r="238" spans="3:4" x14ac:dyDescent="0.25">
      <c r="C238" s="13" t="s">
        <v>26</v>
      </c>
      <c r="D238">
        <v>138</v>
      </c>
    </row>
    <row r="246" spans="3:4" x14ac:dyDescent="0.25">
      <c r="C246" s="12" t="s">
        <v>25</v>
      </c>
      <c r="D246" t="s">
        <v>32</v>
      </c>
    </row>
    <row r="247" spans="3:4" x14ac:dyDescent="0.25">
      <c r="C247" s="13" t="s">
        <v>23</v>
      </c>
      <c r="D247">
        <v>91</v>
      </c>
    </row>
    <row r="248" spans="3:4" x14ac:dyDescent="0.25">
      <c r="C248" s="13" t="s">
        <v>12</v>
      </c>
      <c r="D248">
        <v>43</v>
      </c>
    </row>
    <row r="249" spans="3:4" x14ac:dyDescent="0.25">
      <c r="C249" s="13" t="s">
        <v>10</v>
      </c>
      <c r="D249">
        <v>4</v>
      </c>
    </row>
    <row r="250" spans="3:4" x14ac:dyDescent="0.25">
      <c r="C250" s="13" t="s">
        <v>26</v>
      </c>
      <c r="D250">
        <v>138</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sheetPr codeName="Sheet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 daata</vt:lpstr>
      <vt:lpstr>DASH BOARD</vt:lpstr>
      <vt:lpstr>PRODUCTS</vt:lpstr>
      <vt:lpstr>SALES MANS</vt:lpstr>
      <vt:lpstr>ABOUT</vt:lpstr>
      <vt:lpstr>piviot table </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jagadeesh gunturu</cp:lastModifiedBy>
  <dcterms:created xsi:type="dcterms:W3CDTF">2025-01-28T12:35:12Z</dcterms:created>
  <dcterms:modified xsi:type="dcterms:W3CDTF">2026-04-08T03:25:48Z</dcterms:modified>
</cp:coreProperties>
</file>